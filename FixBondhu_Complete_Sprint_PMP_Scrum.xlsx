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fran\Downloads\"/>
    </mc:Choice>
  </mc:AlternateContent>
  <xr:revisionPtr revIDLastSave="0" documentId="13_ncr:1_{8B2FBA79-9C2A-44A8-86DF-783A2D2FC2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BS - Updated Product Backlog" sheetId="1" r:id="rId1"/>
    <sheet name="Sprint wise spent" sheetId="2" r:id="rId2"/>
    <sheet name="Pivot" sheetId="3" r:id="rId3"/>
    <sheet name="Config" sheetId="4" r:id="rId4"/>
    <sheet name="Risk &amp; Opportun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L20" i="5"/>
  <c r="H20" i="5"/>
  <c r="L19" i="5"/>
  <c r="H19" i="5"/>
  <c r="L18" i="5"/>
  <c r="H18" i="5"/>
  <c r="L17" i="5"/>
  <c r="H17" i="5"/>
  <c r="G5" i="5" s="1"/>
  <c r="L12" i="3" s="1"/>
  <c r="L16" i="5"/>
  <c r="H16" i="5"/>
  <c r="L15" i="5"/>
  <c r="H15" i="5"/>
  <c r="L14" i="5"/>
  <c r="H14" i="5"/>
  <c r="L13" i="5"/>
  <c r="H13" i="5"/>
  <c r="L12" i="5"/>
  <c r="H12" i="5"/>
  <c r="L11" i="5"/>
  <c r="H11" i="5"/>
  <c r="L10" i="5"/>
  <c r="H10" i="5"/>
  <c r="L9" i="5"/>
  <c r="H9" i="5"/>
  <c r="L8" i="5"/>
  <c r="D5" i="5" s="1"/>
  <c r="H8" i="5"/>
  <c r="A5" i="5" s="1"/>
  <c r="L10" i="3" s="1"/>
  <c r="D22" i="4"/>
  <c r="J9" i="4"/>
  <c r="K9" i="4" s="1"/>
  <c r="K8" i="4"/>
  <c r="J8" i="4"/>
  <c r="B8" i="4"/>
  <c r="J7" i="4"/>
  <c r="K7" i="4" s="1"/>
  <c r="J6" i="4"/>
  <c r="K6" i="4" s="1"/>
  <c r="J5" i="4"/>
  <c r="K5" i="4" s="1"/>
  <c r="B23" i="3"/>
  <c r="G15" i="3"/>
  <c r="L22" i="3" s="1"/>
  <c r="G14" i="3"/>
  <c r="E14" i="3"/>
  <c r="F14" i="3" s="1"/>
  <c r="B14" i="3"/>
  <c r="G13" i="3"/>
  <c r="F13" i="3"/>
  <c r="E13" i="3"/>
  <c r="B13" i="3"/>
  <c r="G12" i="3"/>
  <c r="E12" i="3"/>
  <c r="F12" i="3" s="1"/>
  <c r="B12" i="3"/>
  <c r="B15" i="3" s="1"/>
  <c r="G11" i="3"/>
  <c r="F11" i="3"/>
  <c r="E11" i="3"/>
  <c r="B11" i="3"/>
  <c r="G10" i="3"/>
  <c r="D20" i="3" s="1"/>
  <c r="F10" i="3"/>
  <c r="E10" i="3"/>
  <c r="B10" i="3"/>
  <c r="J5" i="3"/>
  <c r="C5" i="3"/>
  <c r="S38" i="2"/>
  <c r="O38" i="2"/>
  <c r="S37" i="2"/>
  <c r="O37" i="2"/>
  <c r="M37" i="2"/>
  <c r="I37" i="2"/>
  <c r="AE36" i="2"/>
  <c r="AA36" i="2"/>
  <c r="S36" i="2"/>
  <c r="O36" i="2"/>
  <c r="M36" i="2"/>
  <c r="I36" i="2"/>
  <c r="G36" i="2"/>
  <c r="B36" i="2"/>
  <c r="AE35" i="2"/>
  <c r="AA35" i="2"/>
  <c r="S35" i="2"/>
  <c r="O35" i="2"/>
  <c r="M35" i="2"/>
  <c r="I35" i="2"/>
  <c r="G35" i="2"/>
  <c r="B35" i="2"/>
  <c r="AE34" i="2"/>
  <c r="AA34" i="2"/>
  <c r="Y34" i="2"/>
  <c r="U34" i="2"/>
  <c r="S34" i="2"/>
  <c r="O34" i="2"/>
  <c r="M34" i="2"/>
  <c r="I34" i="2"/>
  <c r="G34" i="2"/>
  <c r="B34" i="2"/>
  <c r="AE33" i="2"/>
  <c r="AA33" i="2"/>
  <c r="Y33" i="2"/>
  <c r="U33" i="2"/>
  <c r="S33" i="2"/>
  <c r="O33" i="2"/>
  <c r="M33" i="2"/>
  <c r="I33" i="2"/>
  <c r="G33" i="2"/>
  <c r="B33" i="2"/>
  <c r="AE32" i="2"/>
  <c r="AA32" i="2"/>
  <c r="Y32" i="2"/>
  <c r="U32" i="2"/>
  <c r="S32" i="2"/>
  <c r="O32" i="2"/>
  <c r="M32" i="2"/>
  <c r="I32" i="2"/>
  <c r="G32" i="2"/>
  <c r="B32" i="2"/>
  <c r="AE31" i="2"/>
  <c r="AA31" i="2"/>
  <c r="Y31" i="2"/>
  <c r="U31" i="2"/>
  <c r="S31" i="2"/>
  <c r="O31" i="2"/>
  <c r="M31" i="2"/>
  <c r="I31" i="2"/>
  <c r="G31" i="2"/>
  <c r="B31" i="2"/>
  <c r="AE30" i="2"/>
  <c r="AA30" i="2"/>
  <c r="Y30" i="2"/>
  <c r="U30" i="2"/>
  <c r="S30" i="2"/>
  <c r="O30" i="2"/>
  <c r="M30" i="2"/>
  <c r="I30" i="2"/>
  <c r="G30" i="2"/>
  <c r="B30" i="2"/>
  <c r="AE29" i="2"/>
  <c r="AA29" i="2"/>
  <c r="Y29" i="2"/>
  <c r="U29" i="2"/>
  <c r="S29" i="2"/>
  <c r="O29" i="2"/>
  <c r="M29" i="2"/>
  <c r="I29" i="2"/>
  <c r="G29" i="2"/>
  <c r="B29" i="2"/>
  <c r="AE28" i="2"/>
  <c r="AA28" i="2"/>
  <c r="Y28" i="2"/>
  <c r="U28" i="2"/>
  <c r="S28" i="2"/>
  <c r="S39" i="2" s="1"/>
  <c r="O28" i="2"/>
  <c r="M28" i="2"/>
  <c r="I28" i="2"/>
  <c r="G28" i="2"/>
  <c r="B28" i="2"/>
  <c r="AE27" i="2"/>
  <c r="AA27" i="2"/>
  <c r="Y27" i="2"/>
  <c r="U27" i="2"/>
  <c r="S27" i="2"/>
  <c r="O27" i="2"/>
  <c r="M27" i="2"/>
  <c r="I27" i="2"/>
  <c r="G27" i="2"/>
  <c r="B27" i="2"/>
  <c r="AE26" i="2"/>
  <c r="AA26" i="2"/>
  <c r="Y26" i="2"/>
  <c r="Y39" i="2" s="1"/>
  <c r="U26" i="2"/>
  <c r="S26" i="2"/>
  <c r="O26" i="2"/>
  <c r="M26" i="2"/>
  <c r="I26" i="2"/>
  <c r="G26" i="2"/>
  <c r="B26" i="2"/>
  <c r="AE25" i="2"/>
  <c r="AE39" i="2" s="1"/>
  <c r="AA25" i="2"/>
  <c r="Y25" i="2"/>
  <c r="U25" i="2"/>
  <c r="S25" i="2"/>
  <c r="O25" i="2"/>
  <c r="M25" i="2"/>
  <c r="M39" i="2" s="1"/>
  <c r="I25" i="2"/>
  <c r="G25" i="2"/>
  <c r="G39" i="2" s="1"/>
  <c r="B25" i="2"/>
  <c r="AD18" i="2"/>
  <c r="R19" i="2" s="1"/>
  <c r="X18" i="2"/>
  <c r="R18" i="2"/>
  <c r="L18" i="2"/>
  <c r="F18" i="2"/>
  <c r="AD14" i="2"/>
  <c r="AC9" i="2"/>
  <c r="W9" i="2"/>
  <c r="Q9" i="2"/>
  <c r="K9" i="2"/>
  <c r="E9" i="2"/>
  <c r="AE8" i="2"/>
  <c r="AD8" i="2"/>
  <c r="Y8" i="2"/>
  <c r="X8" i="2"/>
  <c r="S8" i="2"/>
  <c r="R8" i="2"/>
  <c r="M8" i="2"/>
  <c r="L8" i="2"/>
  <c r="G8" i="2"/>
  <c r="F8" i="2"/>
  <c r="AE7" i="2"/>
  <c r="AD7" i="2"/>
  <c r="Y7" i="2"/>
  <c r="X7" i="2"/>
  <c r="S7" i="2"/>
  <c r="R7" i="2"/>
  <c r="M7" i="2"/>
  <c r="L7" i="2"/>
  <c r="G7" i="2"/>
  <c r="F7" i="2"/>
  <c r="AE6" i="2"/>
  <c r="AD6" i="2"/>
  <c r="Y6" i="2"/>
  <c r="X6" i="2"/>
  <c r="X9" i="2" s="1"/>
  <c r="X10" i="2" s="1"/>
  <c r="X11" i="2" s="1"/>
  <c r="H11" i="3" s="1"/>
  <c r="S6" i="2"/>
  <c r="S9" i="2" s="1"/>
  <c r="R6" i="2"/>
  <c r="R9" i="2" s="1"/>
  <c r="R10" i="2" s="1"/>
  <c r="R11" i="2" s="1"/>
  <c r="H12" i="3" s="1"/>
  <c r="M6" i="2"/>
  <c r="L6" i="2"/>
  <c r="G6" i="2"/>
  <c r="F6" i="2"/>
  <c r="AE5" i="2"/>
  <c r="AD5" i="2"/>
  <c r="Y5" i="2"/>
  <c r="Y9" i="2" s="1"/>
  <c r="X5" i="2"/>
  <c r="S5" i="2"/>
  <c r="R5" i="2"/>
  <c r="M5" i="2"/>
  <c r="L5" i="2"/>
  <c r="G5" i="2"/>
  <c r="G9" i="2" s="1"/>
  <c r="F5" i="2"/>
  <c r="AE4" i="2"/>
  <c r="AE9" i="2" s="1"/>
  <c r="AD4" i="2"/>
  <c r="AD9" i="2" s="1"/>
  <c r="AD10" i="2" s="1"/>
  <c r="AD11" i="2" s="1"/>
  <c r="Y4" i="2"/>
  <c r="X4" i="2"/>
  <c r="S4" i="2"/>
  <c r="R4" i="2"/>
  <c r="M4" i="2"/>
  <c r="M9" i="2" s="1"/>
  <c r="L4" i="2"/>
  <c r="L9" i="2" s="1"/>
  <c r="L10" i="2" s="1"/>
  <c r="L11" i="2" s="1"/>
  <c r="H13" i="3" s="1"/>
  <c r="G4" i="2"/>
  <c r="F4" i="2"/>
  <c r="F9" i="2" s="1"/>
  <c r="F10" i="2" s="1"/>
  <c r="F11" i="2" s="1"/>
  <c r="H14" i="3" s="1"/>
  <c r="P63" i="1"/>
  <c r="B24" i="3" s="1"/>
  <c r="N63" i="1"/>
  <c r="L14" i="2" s="1"/>
  <c r="L63" i="1"/>
  <c r="R14" i="2" s="1"/>
  <c r="J63" i="1"/>
  <c r="X14" i="2" s="1"/>
  <c r="H63" i="1"/>
  <c r="F15" i="2" s="1"/>
  <c r="G63" i="1"/>
  <c r="E63" i="1"/>
  <c r="K62" i="1"/>
  <c r="M62" i="1" s="1"/>
  <c r="O62" i="1" s="1"/>
  <c r="Q62" i="1" s="1"/>
  <c r="I62" i="1"/>
  <c r="I61" i="1"/>
  <c r="K61" i="1" s="1"/>
  <c r="M61" i="1" s="1"/>
  <c r="O61" i="1" s="1"/>
  <c r="Q61" i="1" s="1"/>
  <c r="K60" i="1"/>
  <c r="M60" i="1" s="1"/>
  <c r="O60" i="1" s="1"/>
  <c r="Q60" i="1" s="1"/>
  <c r="I60" i="1"/>
  <c r="I59" i="1"/>
  <c r="K59" i="1" s="1"/>
  <c r="M59" i="1" s="1"/>
  <c r="O59" i="1" s="1"/>
  <c r="Q59" i="1" s="1"/>
  <c r="I58" i="1"/>
  <c r="K58" i="1" s="1"/>
  <c r="M58" i="1" s="1"/>
  <c r="O58" i="1" s="1"/>
  <c r="Q58" i="1" s="1"/>
  <c r="I57" i="1"/>
  <c r="K57" i="1" s="1"/>
  <c r="M57" i="1" s="1"/>
  <c r="O57" i="1" s="1"/>
  <c r="Q57" i="1" s="1"/>
  <c r="K56" i="1"/>
  <c r="M56" i="1" s="1"/>
  <c r="O56" i="1" s="1"/>
  <c r="Q56" i="1" s="1"/>
  <c r="I56" i="1"/>
  <c r="I55" i="1"/>
  <c r="K55" i="1" s="1"/>
  <c r="M55" i="1" s="1"/>
  <c r="O55" i="1" s="1"/>
  <c r="Q55" i="1" s="1"/>
  <c r="K54" i="1"/>
  <c r="M54" i="1" s="1"/>
  <c r="O54" i="1" s="1"/>
  <c r="Q54" i="1" s="1"/>
  <c r="I54" i="1"/>
  <c r="I53" i="1"/>
  <c r="K53" i="1" s="1"/>
  <c r="M53" i="1" s="1"/>
  <c r="O53" i="1" s="1"/>
  <c r="Q53" i="1" s="1"/>
  <c r="K52" i="1"/>
  <c r="M52" i="1" s="1"/>
  <c r="O52" i="1" s="1"/>
  <c r="Q52" i="1" s="1"/>
  <c r="I52" i="1"/>
  <c r="I51" i="1"/>
  <c r="K51" i="1" s="1"/>
  <c r="M51" i="1" s="1"/>
  <c r="O51" i="1" s="1"/>
  <c r="Q51" i="1" s="1"/>
  <c r="G51" i="1"/>
  <c r="I50" i="1"/>
  <c r="K50" i="1" s="1"/>
  <c r="M50" i="1" s="1"/>
  <c r="O50" i="1" s="1"/>
  <c r="Q50" i="1" s="1"/>
  <c r="K49" i="1"/>
  <c r="M49" i="1" s="1"/>
  <c r="O49" i="1" s="1"/>
  <c r="Q49" i="1" s="1"/>
  <c r="I49" i="1"/>
  <c r="I48" i="1"/>
  <c r="K48" i="1" s="1"/>
  <c r="M48" i="1" s="1"/>
  <c r="O48" i="1" s="1"/>
  <c r="Q48" i="1" s="1"/>
  <c r="K47" i="1"/>
  <c r="M47" i="1" s="1"/>
  <c r="O47" i="1" s="1"/>
  <c r="Q47" i="1" s="1"/>
  <c r="I47" i="1"/>
  <c r="I46" i="1"/>
  <c r="K46" i="1" s="1"/>
  <c r="M46" i="1" s="1"/>
  <c r="O46" i="1" s="1"/>
  <c r="Q46" i="1" s="1"/>
  <c r="I45" i="1"/>
  <c r="K45" i="1" s="1"/>
  <c r="M45" i="1" s="1"/>
  <c r="O45" i="1" s="1"/>
  <c r="Q45" i="1" s="1"/>
  <c r="I44" i="1"/>
  <c r="K44" i="1" s="1"/>
  <c r="M44" i="1" s="1"/>
  <c r="O44" i="1" s="1"/>
  <c r="Q44" i="1" s="1"/>
  <c r="K43" i="1"/>
  <c r="M43" i="1" s="1"/>
  <c r="O43" i="1" s="1"/>
  <c r="Q43" i="1" s="1"/>
  <c r="I43" i="1"/>
  <c r="I42" i="1"/>
  <c r="K42" i="1" s="1"/>
  <c r="M42" i="1" s="1"/>
  <c r="O42" i="1" s="1"/>
  <c r="Q42" i="1" s="1"/>
  <c r="K41" i="1"/>
  <c r="M41" i="1" s="1"/>
  <c r="O41" i="1" s="1"/>
  <c r="Q41" i="1" s="1"/>
  <c r="I41" i="1"/>
  <c r="I40" i="1"/>
  <c r="K40" i="1" s="1"/>
  <c r="M40" i="1" s="1"/>
  <c r="O40" i="1" s="1"/>
  <c r="Q40" i="1" s="1"/>
  <c r="I39" i="1"/>
  <c r="K39" i="1" s="1"/>
  <c r="M39" i="1" s="1"/>
  <c r="O39" i="1" s="1"/>
  <c r="Q39" i="1" s="1"/>
  <c r="I38" i="1"/>
  <c r="K38" i="1" s="1"/>
  <c r="M38" i="1" s="1"/>
  <c r="O38" i="1" s="1"/>
  <c r="Q38" i="1" s="1"/>
  <c r="G38" i="1"/>
  <c r="I37" i="1"/>
  <c r="K37" i="1" s="1"/>
  <c r="M37" i="1" s="1"/>
  <c r="O37" i="1" s="1"/>
  <c r="Q37" i="1" s="1"/>
  <c r="I36" i="1"/>
  <c r="K36" i="1" s="1"/>
  <c r="M36" i="1" s="1"/>
  <c r="O36" i="1" s="1"/>
  <c r="Q36" i="1" s="1"/>
  <c r="I35" i="1"/>
  <c r="K35" i="1" s="1"/>
  <c r="M35" i="1" s="1"/>
  <c r="O35" i="1" s="1"/>
  <c r="Q35" i="1" s="1"/>
  <c r="K34" i="1"/>
  <c r="M34" i="1" s="1"/>
  <c r="O34" i="1" s="1"/>
  <c r="Q34" i="1" s="1"/>
  <c r="I34" i="1"/>
  <c r="I33" i="1"/>
  <c r="K33" i="1" s="1"/>
  <c r="M33" i="1" s="1"/>
  <c r="O33" i="1" s="1"/>
  <c r="Q33" i="1" s="1"/>
  <c r="K32" i="1"/>
  <c r="M32" i="1" s="1"/>
  <c r="O32" i="1" s="1"/>
  <c r="Q32" i="1" s="1"/>
  <c r="I32" i="1"/>
  <c r="I31" i="1"/>
  <c r="K31" i="1" s="1"/>
  <c r="M31" i="1" s="1"/>
  <c r="O31" i="1" s="1"/>
  <c r="Q31" i="1" s="1"/>
  <c r="K30" i="1"/>
  <c r="M30" i="1" s="1"/>
  <c r="O30" i="1" s="1"/>
  <c r="Q30" i="1" s="1"/>
  <c r="I30" i="1"/>
  <c r="I29" i="1"/>
  <c r="K29" i="1" s="1"/>
  <c r="M29" i="1" s="1"/>
  <c r="O29" i="1" s="1"/>
  <c r="Q29" i="1" s="1"/>
  <c r="K28" i="1"/>
  <c r="M28" i="1" s="1"/>
  <c r="O28" i="1" s="1"/>
  <c r="Q28" i="1" s="1"/>
  <c r="I28" i="1"/>
  <c r="I27" i="1"/>
  <c r="K27" i="1" s="1"/>
  <c r="M27" i="1" s="1"/>
  <c r="O27" i="1" s="1"/>
  <c r="Q27" i="1" s="1"/>
  <c r="I26" i="1"/>
  <c r="K26" i="1" s="1"/>
  <c r="M26" i="1" s="1"/>
  <c r="O26" i="1" s="1"/>
  <c r="Q26" i="1" s="1"/>
  <c r="G26" i="1"/>
  <c r="K25" i="1"/>
  <c r="M25" i="1" s="1"/>
  <c r="O25" i="1" s="1"/>
  <c r="Q25" i="1" s="1"/>
  <c r="I25" i="1"/>
  <c r="I24" i="1"/>
  <c r="K24" i="1" s="1"/>
  <c r="M24" i="1" s="1"/>
  <c r="O24" i="1" s="1"/>
  <c r="Q24" i="1" s="1"/>
  <c r="I23" i="1"/>
  <c r="K23" i="1" s="1"/>
  <c r="M23" i="1" s="1"/>
  <c r="O23" i="1" s="1"/>
  <c r="Q23" i="1" s="1"/>
  <c r="I22" i="1"/>
  <c r="K22" i="1" s="1"/>
  <c r="M22" i="1" s="1"/>
  <c r="O22" i="1" s="1"/>
  <c r="Q22" i="1" s="1"/>
  <c r="K21" i="1"/>
  <c r="M21" i="1" s="1"/>
  <c r="O21" i="1" s="1"/>
  <c r="Q21" i="1" s="1"/>
  <c r="I21" i="1"/>
  <c r="I20" i="1"/>
  <c r="K20" i="1" s="1"/>
  <c r="M20" i="1" s="1"/>
  <c r="O20" i="1" s="1"/>
  <c r="Q20" i="1" s="1"/>
  <c r="K19" i="1"/>
  <c r="M19" i="1" s="1"/>
  <c r="O19" i="1" s="1"/>
  <c r="Q19" i="1" s="1"/>
  <c r="I19" i="1"/>
  <c r="I18" i="1"/>
  <c r="K18" i="1" s="1"/>
  <c r="M18" i="1" s="1"/>
  <c r="O18" i="1" s="1"/>
  <c r="Q18" i="1" s="1"/>
  <c r="I17" i="1"/>
  <c r="K17" i="1" s="1"/>
  <c r="M17" i="1" s="1"/>
  <c r="O17" i="1" s="1"/>
  <c r="Q17" i="1" s="1"/>
  <c r="I16" i="1"/>
  <c r="K16" i="1" s="1"/>
  <c r="M16" i="1" s="1"/>
  <c r="O16" i="1" s="1"/>
  <c r="Q16" i="1" s="1"/>
  <c r="K15" i="1"/>
  <c r="M15" i="1" s="1"/>
  <c r="O15" i="1" s="1"/>
  <c r="Q15" i="1" s="1"/>
  <c r="I15" i="1"/>
  <c r="G15" i="1"/>
  <c r="I14" i="1"/>
  <c r="K14" i="1" s="1"/>
  <c r="M14" i="1" s="1"/>
  <c r="O14" i="1" s="1"/>
  <c r="Q14" i="1" s="1"/>
  <c r="I13" i="1"/>
  <c r="K13" i="1" s="1"/>
  <c r="M13" i="1" s="1"/>
  <c r="O13" i="1" s="1"/>
  <c r="Q13" i="1" s="1"/>
  <c r="K12" i="1"/>
  <c r="M12" i="1" s="1"/>
  <c r="O12" i="1" s="1"/>
  <c r="Q12" i="1" s="1"/>
  <c r="I12" i="1"/>
  <c r="I11" i="1"/>
  <c r="K11" i="1" s="1"/>
  <c r="M11" i="1" s="1"/>
  <c r="O11" i="1" s="1"/>
  <c r="Q11" i="1" s="1"/>
  <c r="K10" i="1"/>
  <c r="M10" i="1" s="1"/>
  <c r="O10" i="1" s="1"/>
  <c r="Q10" i="1" s="1"/>
  <c r="I10" i="1"/>
  <c r="I9" i="1"/>
  <c r="K9" i="1" s="1"/>
  <c r="M9" i="1" s="1"/>
  <c r="O9" i="1" s="1"/>
  <c r="Q9" i="1" s="1"/>
  <c r="K8" i="1"/>
  <c r="M8" i="1" s="1"/>
  <c r="O8" i="1" s="1"/>
  <c r="Q8" i="1" s="1"/>
  <c r="I8" i="1"/>
  <c r="I7" i="1"/>
  <c r="K7" i="1" s="1"/>
  <c r="M7" i="1" s="1"/>
  <c r="O7" i="1" s="1"/>
  <c r="Q7" i="1" s="1"/>
  <c r="K6" i="1"/>
  <c r="M6" i="1" s="1"/>
  <c r="O6" i="1" s="1"/>
  <c r="Q6" i="1" s="1"/>
  <c r="I6" i="1"/>
  <c r="I5" i="1"/>
  <c r="K5" i="1" s="1"/>
  <c r="M5" i="1" s="1"/>
  <c r="O5" i="1" s="1"/>
  <c r="Q5" i="1" s="1"/>
  <c r="I4" i="1"/>
  <c r="K4" i="1" s="1"/>
  <c r="M4" i="1" s="1"/>
  <c r="O4" i="1" s="1"/>
  <c r="Q4" i="1" s="1"/>
  <c r="I3" i="1"/>
  <c r="K3" i="1" s="1"/>
  <c r="K2" i="1"/>
  <c r="M2" i="1" s="1"/>
  <c r="I2" i="1"/>
  <c r="I63" i="1" s="1"/>
  <c r="G2" i="1"/>
  <c r="L13" i="3" l="1"/>
  <c r="O2" i="1"/>
  <c r="K63" i="1"/>
  <c r="M3" i="1"/>
  <c r="O3" i="1" s="1"/>
  <c r="Q3" i="1" s="1"/>
  <c r="E5" i="3"/>
  <c r="L11" i="3"/>
  <c r="G15" i="2"/>
  <c r="D21" i="3"/>
  <c r="F12" i="2"/>
  <c r="A5" i="3" s="1"/>
  <c r="G5" i="3" s="1"/>
  <c r="L19" i="3" s="1"/>
  <c r="H10" i="3"/>
  <c r="H15" i="3" s="1"/>
  <c r="L21" i="3" s="1"/>
  <c r="AD12" i="2"/>
  <c r="X12" i="2"/>
  <c r="R12" i="2"/>
  <c r="L12" i="2"/>
  <c r="B21" i="3"/>
  <c r="L15" i="2"/>
  <c r="R15" i="2"/>
  <c r="X19" i="2"/>
  <c r="AD15" i="2"/>
  <c r="AD19" i="2"/>
  <c r="B20" i="3"/>
  <c r="C20" i="3" s="1"/>
  <c r="F19" i="2"/>
  <c r="F20" i="2" s="1"/>
  <c r="F21" i="2" s="1"/>
  <c r="L19" i="2"/>
  <c r="X15" i="2"/>
  <c r="B22" i="3"/>
  <c r="F14" i="2"/>
  <c r="F16" i="2" l="1"/>
  <c r="L23" i="3"/>
  <c r="F20" i="3"/>
  <c r="E20" i="3"/>
  <c r="I20" i="3" s="1"/>
  <c r="C21" i="3"/>
  <c r="R16" i="2"/>
  <c r="R20" i="2"/>
  <c r="R21" i="2" s="1"/>
  <c r="S15" i="2"/>
  <c r="X16" i="2"/>
  <c r="X20" i="2"/>
  <c r="X21" i="2" s="1"/>
  <c r="Y15" i="2"/>
  <c r="D22" i="3"/>
  <c r="G21" i="3"/>
  <c r="AD16" i="2"/>
  <c r="AD20" i="2"/>
  <c r="AD21" i="2" s="1"/>
  <c r="AE15" i="2"/>
  <c r="L16" i="2"/>
  <c r="L20" i="2"/>
  <c r="L21" i="2" s="1"/>
  <c r="M15" i="2"/>
  <c r="G20" i="3"/>
  <c r="M63" i="1"/>
  <c r="Q2" i="1"/>
  <c r="Q63" i="1" s="1"/>
  <c r="L20" i="3" s="1"/>
  <c r="O63" i="1"/>
  <c r="G22" i="3" l="1"/>
  <c r="D23" i="3"/>
  <c r="C22" i="3"/>
  <c r="F21" i="3"/>
  <c r="H21" i="3" s="1"/>
  <c r="E21" i="3"/>
  <c r="I21" i="3" s="1"/>
  <c r="H20" i="3"/>
  <c r="F22" i="3" l="1"/>
  <c r="H22" i="3" s="1"/>
  <c r="E22" i="3"/>
  <c r="I22" i="3" s="1"/>
  <c r="C23" i="3"/>
  <c r="D24" i="3"/>
  <c r="G24" i="3" s="1"/>
  <c r="G23" i="3"/>
  <c r="C24" i="3" l="1"/>
  <c r="E23" i="3"/>
  <c r="I23" i="3" s="1"/>
  <c r="F23" i="3"/>
  <c r="H23" i="3" s="1"/>
  <c r="F24" i="3" l="1"/>
  <c r="H24" i="3" s="1"/>
  <c r="E24" i="3"/>
  <c r="L24" i="3" l="1"/>
  <c r="I24" i="3"/>
  <c r="L25" i="3" l="1"/>
  <c r="L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tc={33372D6A-E7CA-2035-F496-7F1CB5508EDA}</author>
  </authors>
  <commentList>
    <comment ref="A31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scenario deliberately shows exactly two behind-schedule sprints followed by three on-schedule sprints, with all 350 points complete in Sprint 5.</t>
      </text>
    </comment>
  </commentList>
</comments>
</file>

<file path=xl/sharedStrings.xml><?xml version="1.0" encoding="utf-8"?>
<sst xmlns="http://schemas.openxmlformats.org/spreadsheetml/2006/main" count="937" uniqueCount="384">
  <si>
    <t>Module</t>
  </si>
  <si>
    <t>Subtask</t>
  </si>
  <si>
    <t>ID</t>
  </si>
  <si>
    <t>User Stories / Work Package</t>
  </si>
  <si>
    <t>Initial Estimation
(Story Points)</t>
  </si>
  <si>
    <t>Sprint #</t>
  </si>
  <si>
    <t>Total Sprint
Points</t>
  </si>
  <si>
    <t>Sprint 1
Done</t>
  </si>
  <si>
    <t>Sprint 1
Remaining</t>
  </si>
  <si>
    <t>Sprint 2
Done</t>
  </si>
  <si>
    <t>Sprint 2
Remaining</t>
  </si>
  <si>
    <t>Sprint 3
Done</t>
  </si>
  <si>
    <t>Sprint 3
Remaining</t>
  </si>
  <si>
    <t>Sprint 4
Done</t>
  </si>
  <si>
    <t>Sprint 4
Remaining</t>
  </si>
  <si>
    <t>Sprint 5
Done</t>
  </si>
  <si>
    <t>Sprint 5
Remaining</t>
  </si>
  <si>
    <t>1. Accounts &amp; Verification</t>
  </si>
  <si>
    <t>Customer Registration &amp; Login</t>
  </si>
  <si>
    <t>1.1.1</t>
  </si>
  <si>
    <t>Design customer registration form</t>
  </si>
  <si>
    <t>1.1.2</t>
  </si>
  <si>
    <t>Implement account creation and field validation</t>
  </si>
  <si>
    <t>1.1.3</t>
  </si>
  <si>
    <t>Store credentials securely with password hashing</t>
  </si>
  <si>
    <t>1.1.4</t>
  </si>
  <si>
    <t>Implement login, session handling and logout</t>
  </si>
  <si>
    <t>Profile &amp; Access</t>
  </si>
  <si>
    <t>1.2.1</t>
  </si>
  <si>
    <t>Build customer profile page</t>
  </si>
  <si>
    <t>1.2.2</t>
  </si>
  <si>
    <t>Implement profile update functionality</t>
  </si>
  <si>
    <t>1.2.3</t>
  </si>
  <si>
    <t>Implement forgot-password and password-reset flow</t>
  </si>
  <si>
    <t>1.2.4</t>
  </si>
  <si>
    <t>Apply customer, technician and admin role-based access</t>
  </si>
  <si>
    <t>Technician Registration &amp; Verification</t>
  </si>
  <si>
    <t>1.3.1</t>
  </si>
  <si>
    <t>Create technician service-category and working-area form</t>
  </si>
  <si>
    <t>1.3.2</t>
  </si>
  <si>
    <t>Add NID and skill-evidence upload</t>
  </si>
  <si>
    <t>1.3.3</t>
  </si>
  <si>
    <t>Build admin approve/reject verification workflow</t>
  </si>
  <si>
    <t>1.3.4</t>
  </si>
  <si>
    <t>Show verification status and verified badge</t>
  </si>
  <si>
    <t>2. Location-Based Discovery</t>
  </si>
  <si>
    <t>Location Capture</t>
  </si>
  <si>
    <t>2.1.1</t>
  </si>
  <si>
    <t>Request browser location permission and capture coordinates</t>
  </si>
  <si>
    <t>2.1.2</t>
  </si>
  <si>
    <t>Add manual location and area input</t>
  </si>
  <si>
    <t>2.1.3</t>
  </si>
  <si>
    <t>Geocode, normalize and save the selected location</t>
  </si>
  <si>
    <t>Nearby Technician Discovery</t>
  </si>
  <si>
    <t>2.2.1</t>
  </si>
  <si>
    <t>Query verified technicians by service category and location</t>
  </si>
  <si>
    <t>2.2.2</t>
  </si>
  <si>
    <t>Calculate distance/radius and rank nearby results</t>
  </si>
  <si>
    <t>2.2.3</t>
  </si>
  <si>
    <t>Filter and sort by distance, rating and availability</t>
  </si>
  <si>
    <t>2.2.4</t>
  </si>
  <si>
    <t>Build map/list results with technician profile links</t>
  </si>
  <si>
    <t>Reliability &amp; Fallback</t>
  </si>
  <si>
    <t>2.3.1</t>
  </si>
  <si>
    <t>Handle location-permission and map/API errors</t>
  </si>
  <si>
    <t>2.3.2</t>
  </si>
  <si>
    <t>Implement area/service fallback when map results fail</t>
  </si>
  <si>
    <t>2.3.3</t>
  </si>
  <si>
    <t>Test multiple Dhaka locations, empty states and edge cases</t>
  </si>
  <si>
    <t>2.3.4</t>
  </si>
  <si>
    <t>Limit and handle stored location data safely</t>
  </si>
  <si>
    <t>3. Service Request, Booking &amp; Tracking</t>
  </si>
  <si>
    <t>Repair Request Creation</t>
  </si>
  <si>
    <t>3.1.1</t>
  </si>
  <si>
    <t>Build normal repair-request form</t>
  </si>
  <si>
    <t>3.1.2</t>
  </si>
  <si>
    <t>Add issue-photo attachment</t>
  </si>
  <si>
    <t>3.1.3</t>
  </si>
  <si>
    <t>Validate service category, issue details and required fields</t>
  </si>
  <si>
    <t>3.1.4</t>
  </si>
  <si>
    <t>Save request and generate a unique request ID</t>
  </si>
  <si>
    <t>Booking &amp; Technician Response</t>
  </si>
  <si>
    <t>3.2.1</t>
  </si>
  <si>
    <t>Build technician incoming-request queue</t>
  </si>
  <si>
    <t>3.2.2</t>
  </si>
  <si>
    <t>Implement accept/reject response workflow</t>
  </si>
  <si>
    <t>3.2.3</t>
  </si>
  <si>
    <t>Send customer confirmation and request notification</t>
  </si>
  <si>
    <t>Status, Emergency &amp; Estimate</t>
  </si>
  <si>
    <t>3.3.1</t>
  </si>
  <si>
    <t>Implement request status transitions from sent to completed</t>
  </si>
  <si>
    <t>3.3.2</t>
  </si>
  <si>
    <t>Build customer status timeline and tracking view</t>
  </si>
  <si>
    <t>3.3.3</t>
  </si>
  <si>
    <t>Add controlled emergency/urgent request flag</t>
  </si>
  <si>
    <t>3.3.4</t>
  </si>
  <si>
    <t>Display estimated price/time and booking confirmation</t>
  </si>
  <si>
    <t>3.3.5</t>
  </si>
  <si>
    <t>Notify users about important request-status changes</t>
  </si>
  <si>
    <t>4. Trust, Safety &amp; Feedback</t>
  </si>
  <si>
    <t>Ratings &amp; Service History</t>
  </si>
  <si>
    <t>4.1.1</t>
  </si>
  <si>
    <t>Enable rating only after a completed service</t>
  </si>
  <si>
    <t>4.1.2</t>
  </si>
  <si>
    <t>Validate and save 1-5 star rating</t>
  </si>
  <si>
    <t>4.1.3</t>
  </si>
  <si>
    <t>Submit and display written review</t>
  </si>
  <si>
    <t>4.1.4</t>
  </si>
  <si>
    <t>Show customer service history</t>
  </si>
  <si>
    <t>Complaints &amp; Safety</t>
  </si>
  <si>
    <t>4.2.1</t>
  </si>
  <si>
    <t>Submit complaint for a completed service</t>
  </si>
  <si>
    <t>4.2.2</t>
  </si>
  <si>
    <t>Report a safety concern for admin review</t>
  </si>
  <si>
    <t>4.2.3</t>
  </si>
  <si>
    <t>Build admin complaint and safety-review queue</t>
  </si>
  <si>
    <t>4.2.4</t>
  </si>
  <si>
    <t>Record action, resolution and complaint status</t>
  </si>
  <si>
    <t>Review Moderation &amp; Trust</t>
  </si>
  <si>
    <t>4.3.1</t>
  </si>
  <si>
    <t>Flag abusive, fake or duplicate review candidates using basic rules</t>
  </si>
  <si>
    <t>4.3.2</t>
  </si>
  <si>
    <t>Allow admin to hide or restore inappropriate reviews</t>
  </si>
  <si>
    <t>4.3.3</t>
  </si>
  <si>
    <t>Show verified-service indicator on eligible reviews</t>
  </si>
  <si>
    <t>4.3.4</t>
  </si>
  <si>
    <t>Run rating, complaint and moderation workflow tests</t>
  </si>
  <si>
    <t>5. Admin &amp; Platform Management</t>
  </si>
  <si>
    <t>Admin Dashboard &amp; Master Data</t>
  </si>
  <si>
    <t>5.1.1</t>
  </si>
  <si>
    <t>Build admin dashboard summary</t>
  </si>
  <si>
    <t>5.1.2</t>
  </si>
  <si>
    <t>Search and view customers, technicians and service requests</t>
  </si>
  <si>
    <t>5.1.3</t>
  </si>
  <si>
    <t>Manage service categories</t>
  </si>
  <si>
    <t>5.1.4</t>
  </si>
  <si>
    <t>Manage service coverage areas</t>
  </si>
  <si>
    <t>5.1.5</t>
  </si>
  <si>
    <t>Verify, suspend or remove technician accounts</t>
  </si>
  <si>
    <t>Dispute, Monitoring &amp; Integration</t>
  </si>
  <si>
    <t>5.2.1</t>
  </si>
  <si>
    <t>Implement dispute-resolution workflow</t>
  </si>
  <si>
    <t>5.2.2</t>
  </si>
  <si>
    <t>Add important platform-activity and admin audit monitoring</t>
  </si>
  <si>
    <t>5.2.3</t>
  </si>
  <si>
    <t>Integrate all five modules with shared navigation and API contracts</t>
  </si>
  <si>
    <t>5.2.4</t>
  </si>
  <si>
    <t>Run end-to-end integration and smoke tests</t>
  </si>
  <si>
    <t>QA, Deployment &amp; Handover</t>
  </si>
  <si>
    <t>5.3.1</t>
  </si>
  <si>
    <t>Prepare and execute user-acceptance test cases</t>
  </si>
  <si>
    <t>5.3.2</t>
  </si>
  <si>
    <t>Fix critical defects and run regression tests</t>
  </si>
  <si>
    <t>5.3.3</t>
  </si>
  <si>
    <t>Verify security, roles and technician-verification controls</t>
  </si>
  <si>
    <t>5.3.4</t>
  </si>
  <si>
    <t>Configure demo deployment, domain and SSL</t>
  </si>
  <si>
    <t>5.3.5</t>
  </si>
  <si>
    <t>Complete final documentation, demonstration and handover</t>
  </si>
  <si>
    <t>GRAND TOTAL</t>
  </si>
  <si>
    <t>Sprint 5</t>
  </si>
  <si>
    <t>Sprint 4</t>
  </si>
  <si>
    <t>Sprint 3</t>
  </si>
  <si>
    <t>Sprint 2</t>
  </si>
  <si>
    <t>Sprint 1</t>
  </si>
  <si>
    <t>Person</t>
  </si>
  <si>
    <t>Level</t>
  </si>
  <si>
    <t>Weighted</t>
  </si>
  <si>
    <t>Allocation</t>
  </si>
  <si>
    <t>Cost</t>
  </si>
  <si>
    <t>Jira Hour</t>
  </si>
  <si>
    <t>Md. Jubayer Hasan</t>
  </si>
  <si>
    <t>Lead</t>
  </si>
  <si>
    <t>Fahim Ahmed</t>
  </si>
  <si>
    <t>Senior</t>
  </si>
  <si>
    <t>Sheikh Md Rakibul Hasan</t>
  </si>
  <si>
    <t>Mid</t>
  </si>
  <si>
    <t>Pallob Nath</t>
  </si>
  <si>
    <t>Junior</t>
  </si>
  <si>
    <t>K.M. Sakif Muhtasim</t>
  </si>
  <si>
    <t>TOTAL</t>
  </si>
  <si>
    <t>Man-weeks spent</t>
  </si>
  <si>
    <t>Weighted man-days spent</t>
  </si>
  <si>
    <t>Actual labor cost cumulative (BDT)</t>
  </si>
  <si>
    <t>Earned Value (Points)</t>
  </si>
  <si>
    <t>Cumulative Earned Value (Points)</t>
  </si>
  <si>
    <t>Labor Cost Variance (BDT)</t>
  </si>
  <si>
    <t>Planned Value (Points)</t>
  </si>
  <si>
    <t>Cumulative PV (Points)</t>
  </si>
  <si>
    <t>Schedule Variance (Points)</t>
  </si>
  <si>
    <t>Schedule status</t>
  </si>
  <si>
    <t>Sprint 5 Completed Work</t>
  </si>
  <si>
    <t>Sprint 4 Completed Work</t>
  </si>
  <si>
    <t>Sprint 3 Completed Work</t>
  </si>
  <si>
    <t>Sprint 2 Completed Work</t>
  </si>
  <si>
    <t>Sprint 1 Completed Work</t>
  </si>
  <si>
    <t>Work Package</t>
  </si>
  <si>
    <t>Done</t>
  </si>
  <si>
    <t>Grand Total</t>
  </si>
  <si>
    <t>FixBondhu - Module, Sprint and Cost Summary | 5 Sprints</t>
  </si>
  <si>
    <t>Sprints 1 and 2 are behind schedule; Sprints 3, 4 and 5 are on schedule. Sprint 5 closes all 350 story points.</t>
  </si>
  <si>
    <t>Labor Cost (BDT)</t>
  </si>
  <si>
    <t>Direct Cost (BDT)</t>
  </si>
  <si>
    <t>Contingency (BDT)</t>
  </si>
  <si>
    <t>COST BASELINE (BDT)</t>
  </si>
  <si>
    <t>Total Story Points</t>
  </si>
  <si>
    <t>Module-wise Estimation</t>
  </si>
  <si>
    <t>Sprint-wise Delivery and Cost Baseline</t>
  </si>
  <si>
    <t>Risk / Opportunity Summary</t>
  </si>
  <si>
    <t>Story Points</t>
  </si>
  <si>
    <t>Sprint</t>
  </si>
  <si>
    <t>Start</t>
  </si>
  <si>
    <t>End</t>
  </si>
  <si>
    <t>Planned
Points</t>
  </si>
  <si>
    <t>Cost Baseline
(BDT)</t>
  </si>
  <si>
    <t>Measure</t>
  </si>
  <si>
    <t>BDT</t>
  </si>
  <si>
    <t>Threat EMV before response</t>
  </si>
  <si>
    <t>Residual threat EMV / contingency</t>
  </si>
  <si>
    <t>Opportunity EMV before action</t>
  </si>
  <si>
    <t>Post-action opportunity EMV</t>
  </si>
  <si>
    <t>Schedule and Earned Value Tracking Summary</t>
  </si>
  <si>
    <t>Reconciliation Checks</t>
  </si>
  <si>
    <t>Done Points</t>
  </si>
  <si>
    <t>Cum. Done</t>
  </si>
  <si>
    <t>Cum. Planned</t>
  </si>
  <si>
    <t>SV (Points)</t>
  </si>
  <si>
    <t>Cum. EV
(BDT)</t>
  </si>
  <si>
    <t>Cum. PV
(BDT)</t>
  </si>
  <si>
    <t>SV (BDT)</t>
  </si>
  <si>
    <t>Status</t>
  </si>
  <si>
    <t>Baseline - Labor - Direct - Contingency</t>
  </si>
  <si>
    <t>Final Remaining Story Points</t>
  </si>
  <si>
    <t>Sprint Baseline Total - Project Baseline</t>
  </si>
  <si>
    <t>Five-sprint Story Points - Total Story Points</t>
  </si>
  <si>
    <t>Total Done Points - Total Story Points</t>
  </si>
  <si>
    <t>Final Schedule Variance (Points)</t>
  </si>
  <si>
    <t>Behind Schedule Count - Required 2</t>
  </si>
  <si>
    <t>On Schedule Count - Required 3</t>
  </si>
  <si>
    <t>FixBondhu - Configuration and Cost Assumptions | 5 Sprints</t>
  </si>
  <si>
    <t>Yellow cells are editable planning assumptions. Linked outputs update the WBS, sprint-cost, risk and Pivot sheets.</t>
  </si>
  <si>
    <t>Project Assumptions</t>
  </si>
  <si>
    <t>Level / Weight</t>
  </si>
  <si>
    <t>Project Role</t>
  </si>
  <si>
    <t>Weight</t>
  </si>
  <si>
    <t>Day Rate (BDT)</t>
  </si>
  <si>
    <t>Project Name</t>
  </si>
  <si>
    <t>FixBondhu</t>
  </si>
  <si>
    <t>Team Lead</t>
  </si>
  <si>
    <t>Project Start</t>
  </si>
  <si>
    <t>Backend Developer</t>
  </si>
  <si>
    <t>Project Duration (calendar days)</t>
  </si>
  <si>
    <t>Frontend Developer</t>
  </si>
  <si>
    <t>Project End</t>
  </si>
  <si>
    <t>QA / Tester</t>
  </si>
  <si>
    <t>Sprint Count</t>
  </si>
  <si>
    <t>UI/UX Designer</t>
  </si>
  <si>
    <t>Sprint Length (calendar days)</t>
  </si>
  <si>
    <t>Capacity / person / sprint (working days)</t>
  </si>
  <si>
    <t>Base Mid-level Rate (BDT/day)</t>
  </si>
  <si>
    <t>Currency</t>
  </si>
  <si>
    <t>Direct Non-Labor Cost Inputs</t>
  </si>
  <si>
    <t>Story-Point Estimation Scale Used in the Detailed WBS</t>
  </si>
  <si>
    <t>Cost Item</t>
  </si>
  <si>
    <t>Amount (BDT)</t>
  </si>
  <si>
    <t>Why It Is Needed</t>
  </si>
  <si>
    <t>Points</t>
  </si>
  <si>
    <t>Meaning</t>
  </si>
  <si>
    <t>C1</t>
  </si>
  <si>
    <t>Cloud development/deployment hosting</t>
  </si>
  <si>
    <t>Staging and final demonstration hosting allowance.</t>
  </si>
  <si>
    <t>Simple UI/configuration task</t>
  </si>
  <si>
    <t>C2</t>
  </si>
  <si>
    <t>Map / location API testing</t>
  </si>
  <si>
    <t>Geocoding and nearby-technician tests across several Dhaka locations.</t>
  </si>
  <si>
    <t>Small work package with one clear logic path</t>
  </si>
  <si>
    <t>C3</t>
  </si>
  <si>
    <t>Domain and SSL</t>
  </si>
  <si>
    <t>Public demo endpoint and secure HTTPS setup.</t>
  </si>
  <si>
    <t>Medium workflow or validation task</t>
  </si>
  <si>
    <t>C4</t>
  </si>
  <si>
    <t>Test devices, connectivity and test data</t>
  </si>
  <si>
    <t>System/UAT testing under different devices and network conditions.</t>
  </si>
  <si>
    <t>More complex workflow or integration task</t>
  </si>
  <si>
    <t>C5</t>
  </si>
  <si>
    <t>Documentation, presentation and admin</t>
  </si>
  <si>
    <t>Final documentation, handover and presentation-related expenses.</t>
  </si>
  <si>
    <t>High-complexity API, security or data task</t>
  </si>
  <si>
    <t>TOTAL DIRECT NON-LABOR COST</t>
  </si>
  <si>
    <t>Must reconcile to the cost baseline summary.</t>
  </si>
  <si>
    <t>Most complex map/results or cross-component task</t>
  </si>
  <si>
    <t>Method and Source Notes</t>
  </si>
  <si>
    <t>Cost baseline formula</t>
  </si>
  <si>
    <t>Labor cost + direct non-labor cost + residual threat EMV contingency.</t>
  </si>
  <si>
    <t>Labor formula</t>
  </si>
  <si>
    <t>Weighted man-days x BDT 2,000; weighted allocation uses the instructor level weights.</t>
  </si>
  <si>
    <t>Contingency rule</t>
  </si>
  <si>
    <t>Only post-response Threat EMV is added to the baseline. Opportunity savings remain separate until achieved.</t>
  </si>
  <si>
    <t>Team-role mapping</t>
  </si>
  <si>
    <t>The five names come from the FixBondhu presentation. Roles and levels remain editable.</t>
  </si>
  <si>
    <t>Schedule source</t>
  </si>
  <si>
    <t>Updated five-sprint plan: 27 Jul 2026 to 04 Oct 2026, 70 calendar days, five two-week sprints.</t>
  </si>
  <si>
    <t>Instructor reference</t>
  </si>
  <si>
    <t>Instructor sample weights: Junior 0.7, Mid 1.0, Senior 1.3 and Lead 2.0.</t>
  </si>
  <si>
    <t>Progress scenario</t>
  </si>
  <si>
    <t>Done by sprint: 62, 68, 80, 70, 70. Cumulative SV: -8, -10, 0, 0, 0. Sprints 1-2 are behind; Sprints 3-5 are on schedule.</t>
  </si>
  <si>
    <t>FixBondhu - Project-Specific Threats and Opportunities | 5-Sprint Plan</t>
  </si>
  <si>
    <t>EMV = probability x cost impact/saving. Only residual Threat EMV is added to contingency; opportunity savings remain separate.</t>
  </si>
  <si>
    <t>Threat EMV Before Response</t>
  </si>
  <si>
    <t>Residual Threat EMV / Contingency</t>
  </si>
  <si>
    <t>Opportunity EMV Before Action</t>
  </si>
  <si>
    <t>Post-Action Opportunity EMV</t>
  </si>
  <si>
    <t>Type</t>
  </si>
  <si>
    <t>Risk / Opportunity Event</t>
  </si>
  <si>
    <t>Related Phase</t>
  </si>
  <si>
    <t>Reserve /
Target Sprint</t>
  </si>
  <si>
    <t>Probability</t>
  </si>
  <si>
    <t>Cost Impact /
Saving (BDT)</t>
  </si>
  <si>
    <t>EMV (BDT)</t>
  </si>
  <si>
    <t>Strategy</t>
  </si>
  <si>
    <t>Response Action</t>
  </si>
  <si>
    <t>Post-Response
Probability</t>
  </si>
  <si>
    <t>Residual / Post-Action EMV
(BDT)</t>
  </si>
  <si>
    <t>T1</t>
  </si>
  <si>
    <t>Threat</t>
  </si>
  <si>
    <t>Map/location API is slower than planned or gives unreliable nearby results.</t>
  </si>
  <si>
    <t>Module 2: Location Discovery</t>
  </si>
  <si>
    <t>Mitigate</t>
  </si>
  <si>
    <t>Run an early API spike, test several Dhaka locations, monitor quota and keep an area/service fallback.</t>
  </si>
  <si>
    <t>T2</t>
  </si>
  <si>
    <t>Account/technician verification or personal-data handling fails security or UAT checks.</t>
  </si>
  <si>
    <t>Module 1: Accounts &amp; Verification</t>
  </si>
  <si>
    <t>Store minimum data, hash passwords, apply role-based access and test the verification workflow before sign-off.</t>
  </si>
  <si>
    <t>T3</t>
  </si>
  <si>
    <t>Emergency, price-estimation or complaint features expand beyond the agreed student-project scope.</t>
  </si>
  <si>
    <t>Module 3: Request &amp; Booking</t>
  </si>
  <si>
    <t>Avoid / Control</t>
  </si>
  <si>
    <t>Freeze must-have scope; keep good-to-have items separate and require Team Lead approval for changes.</t>
  </si>
  <si>
    <t>T4</t>
  </si>
  <si>
    <t>Exam or academic workload makes a key member unavailable at a critical point.</t>
  </si>
  <si>
    <t>Project-wide</t>
  </si>
  <si>
    <t>Maintain an availability calendar, assign backup reviewers and check the next two weeks at every sprint review.</t>
  </si>
  <si>
    <t>T5</t>
  </si>
  <si>
    <t>Interfaces fail when all five modules are combined during integration and testing.</t>
  </si>
  <si>
    <t>Integration &amp; Testing</t>
  </si>
  <si>
    <t>Define shared API/data contracts early and run a smoke test after each module sign-off.</t>
  </si>
  <si>
    <t>T6</t>
  </si>
  <si>
    <t>Fake or duplicate technician profiles pass verification, or admin controls are too weak.</t>
  </si>
  <si>
    <t>Module 5: Admin</t>
  </si>
  <si>
    <t>Use a verification checklist, duplicate-field checks, admin audit notes and fake-profile test cases.</t>
  </si>
  <si>
    <t>T7</t>
  </si>
  <si>
    <t>Deployment or an external service fails during the final demonstration or handover.</t>
  </si>
  <si>
    <t>Deployment &amp; Closure</t>
  </si>
  <si>
    <t>Prepare a deployment checklist, configuration backup, rollback steps and a recorded/local demo fallback.</t>
  </si>
  <si>
    <t>T8</t>
  </si>
  <si>
    <t>Fake, abusive or unfair ratings reduce trust and create complaint-handling gaps.</t>
  </si>
  <si>
    <t>Module 4: Trust &amp; Feedback</t>
  </si>
  <si>
    <t>Allow ratings only after completed requests and add basic moderation/reporting before module sign-off.</t>
  </si>
  <si>
    <t>O1</t>
  </si>
  <si>
    <t>Opportunity</t>
  </si>
  <si>
    <t>Student or free-tier cloud credits reduce hosting and deployment expenditure.</t>
  </si>
  <si>
    <t>Exploit</t>
  </si>
  <si>
    <t>Check eligibility and quota before deployment and use the free tier if it safely supports the demo.</t>
  </si>
  <si>
    <t>O2</t>
  </si>
  <si>
    <t>Reusable authentication, map and form components reduce coding and QA effort.</t>
  </si>
  <si>
    <t>Modules 1-5</t>
  </si>
  <si>
    <t>Create a small reusable component set and standardize forms, status, validation and API wrappers.</t>
  </si>
  <si>
    <t>O3</t>
  </si>
  <si>
    <t>Early prototype feedback identifies usability problems before formal UAT.</t>
  </si>
  <si>
    <t>Module 3 + UAT</t>
  </si>
  <si>
    <t>Enhance</t>
  </si>
  <si>
    <t>Run a short task-based walkthrough after the booking flow is stable and fix only high-value findings.</t>
  </si>
  <si>
    <t>O4</t>
  </si>
  <si>
    <t>Test-case and documentation preparation can run in parallel with development.</t>
  </si>
  <si>
    <t>Integration &amp; Closure</t>
  </si>
  <si>
    <t>Prepare tests, acceptance criteria and documentation skeletons during development sprints.</t>
  </si>
  <si>
    <t>O5</t>
  </si>
  <si>
    <t>A consistent UI pattern across all five modules reduces design and frontend effort.</t>
  </si>
  <si>
    <t>Create a FixBondhu UI pattern set in Module 1 and reuse it unless a later module has a genuine difference.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</si>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</sst>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"/>
  </numFmts>
  <fonts count="10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1"/>
      <color rgb="FF44546A"/>
      <name val="Carlito"/>
    </font>
    <font>
      <sz val="11"/>
      <color rgb="FF44546A"/>
      <name val="Carlito"/>
    </font>
    <font>
      <sz val="11"/>
      <color rgb="FF1F4E78"/>
      <name val="Carlito"/>
    </font>
    <font>
      <b/>
      <sz val="11"/>
      <color rgb="FFC00000"/>
      <name val="Carlito"/>
    </font>
    <font>
      <b/>
      <sz val="11"/>
      <color rgb="FF008000"/>
      <name val="Carlito"/>
    </font>
    <font>
      <b/>
      <sz val="11"/>
      <color rgb="FFED7D31"/>
      <name val="Carlito"/>
    </font>
    <font>
      <sz val="11"/>
      <color rgb="FF008000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7EEF5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9DC3E6"/>
      </bottom>
      <diagonal/>
    </border>
    <border>
      <left/>
      <right/>
      <top style="thin">
        <color rgb="FF9DC3E6"/>
      </top>
      <bottom style="thin">
        <color rgb="FF9DC3E6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1" fillId="8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3" fontId="4" fillId="6" borderId="1" xfId="0" applyNumberFormat="1" applyFont="1" applyFill="1" applyBorder="1" applyAlignment="1">
      <alignment horizontal="right"/>
    </xf>
    <xf numFmtId="164" fontId="4" fillId="9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165" fontId="0" fillId="6" borderId="1" xfId="0" applyNumberFormat="1" applyFill="1" applyBorder="1" applyAlignment="1">
      <alignment horizontal="right"/>
    </xf>
    <xf numFmtId="0" fontId="4" fillId="6" borderId="1" xfId="0" applyFont="1" applyFill="1" applyBorder="1"/>
    <xf numFmtId="165" fontId="4" fillId="5" borderId="1" xfId="0" applyNumberFormat="1" applyFont="1" applyFill="1" applyBorder="1"/>
    <xf numFmtId="3" fontId="4" fillId="5" borderId="1" xfId="0" applyNumberFormat="1" applyFont="1" applyFill="1" applyBorder="1"/>
    <xf numFmtId="0" fontId="4" fillId="5" borderId="1" xfId="0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3" fontId="2" fillId="9" borderId="2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/>
    </xf>
    <xf numFmtId="0" fontId="4" fillId="13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3" fontId="4" fillId="13" borderId="1" xfId="0" applyNumberFormat="1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9" fontId="4" fillId="13" borderId="1" xfId="0" applyNumberFormat="1" applyFont="1" applyFill="1" applyBorder="1" applyAlignment="1">
      <alignment horizontal="right" vertical="center"/>
    </xf>
    <xf numFmtId="2" fontId="4" fillId="13" borderId="1" xfId="0" applyNumberFormat="1" applyFont="1" applyFill="1" applyBorder="1" applyAlignment="1">
      <alignment horizontal="right" vertical="center"/>
    </xf>
    <xf numFmtId="165" fontId="4" fillId="13" borderId="1" xfId="0" applyNumberFormat="1" applyFont="1" applyFill="1" applyBorder="1" applyAlignment="1">
      <alignment horizontal="right" vertical="center"/>
    </xf>
    <xf numFmtId="2" fontId="3" fillId="9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9" fontId="3" fillId="9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3" fillId="9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vertical="center"/>
    </xf>
    <xf numFmtId="3" fontId="2" fillId="9" borderId="2" xfId="0" applyNumberFormat="1" applyFont="1" applyFill="1" applyBorder="1" applyAlignment="1">
      <alignment vertical="center"/>
    </xf>
    <xf numFmtId="3" fontId="7" fillId="7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3" fillId="9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3" fontId="8" fillId="13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34"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80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color rgb="FF008000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85725</xdr:colOff>
      <xdr:row>27</xdr:row>
      <xdr:rowOff>123825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CE37272-48EE-8360-5C95-158F88C1F0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ph Ashley" id="{D0792C86-DC71-4418-8436-0A3FDE25FE26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1" dT="2026-08-08T18:11:32.19" personId="{D0792C86-DC71-4418-8436-0A3FDE25FE26}" id="{33372D6A-E7CA-2035-F496-7F1CB5508EDA}">
    <text>This scenario deliberately shows exactly two behind-schedule sprints followed by three on-schedule sprints, with all 350 points complete in Sprint 5.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showGridLines="0" tabSelected="1" workbookViewId="0">
      <selection activeCell="S10" sqref="S10"/>
    </sheetView>
  </sheetViews>
  <sheetFormatPr defaultRowHeight="14.25"/>
  <cols>
    <col min="1" max="1" width="18.875" customWidth="1"/>
    <col min="2" max="2" width="20" customWidth="1"/>
    <col min="3" max="3" width="6.5" customWidth="1"/>
    <col min="4" max="4" width="38.375" customWidth="1"/>
    <col min="5" max="5" width="15.25" customWidth="1"/>
    <col min="6" max="6" width="9.75" customWidth="1"/>
    <col min="7" max="7" width="13.5" customWidth="1"/>
    <col min="8" max="8" width="9.75" customWidth="1"/>
    <col min="9" max="9" width="13" customWidth="1"/>
    <col min="10" max="10" width="9.75" customWidth="1"/>
    <col min="11" max="11" width="12" customWidth="1"/>
    <col min="12" max="12" width="9.75" customWidth="1"/>
    <col min="13" max="13" width="13.5" customWidth="1"/>
    <col min="14" max="14" width="9.75" customWidth="1"/>
    <col min="15" max="15" width="12.125" customWidth="1"/>
    <col min="16" max="16" width="9.75" customWidth="1"/>
    <col min="17" max="17" width="11.25" customWidth="1"/>
  </cols>
  <sheetData>
    <row r="1" spans="1:17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5.5" customHeight="1">
      <c r="A2" s="58" t="s">
        <v>17</v>
      </c>
      <c r="B2" s="59" t="s">
        <v>18</v>
      </c>
      <c r="C2" s="3" t="s">
        <v>19</v>
      </c>
      <c r="D2" s="2" t="s">
        <v>20</v>
      </c>
      <c r="E2" s="5">
        <v>4</v>
      </c>
      <c r="F2" s="5">
        <v>1</v>
      </c>
      <c r="G2" s="60">
        <f>SUMIF($F$2:$F$62,F2,$E$2:$E$62)</f>
        <v>70</v>
      </c>
      <c r="H2" s="6">
        <v>4</v>
      </c>
      <c r="I2" s="7">
        <f t="shared" ref="I2:I33" si="0">MAX(0,E2-H2)</f>
        <v>0</v>
      </c>
      <c r="J2" s="6">
        <v>0</v>
      </c>
      <c r="K2" s="7">
        <f t="shared" ref="K2:K33" si="1">MAX(0,I2-J2)</f>
        <v>0</v>
      </c>
      <c r="L2" s="6">
        <v>0</v>
      </c>
      <c r="M2" s="7">
        <f t="shared" ref="M2:M33" si="2">MAX(0,K2-L2)</f>
        <v>0</v>
      </c>
      <c r="N2" s="6">
        <v>0</v>
      </c>
      <c r="O2" s="7">
        <f t="shared" ref="O2:O33" si="3">MAX(0,M2-N2)</f>
        <v>0</v>
      </c>
      <c r="P2" s="6">
        <v>0</v>
      </c>
      <c r="Q2" s="7">
        <f t="shared" ref="Q2:Q33" si="4">MAX(0,O2-P2)</f>
        <v>0</v>
      </c>
    </row>
    <row r="3" spans="1:17" ht="25.5" customHeight="1">
      <c r="A3" s="58"/>
      <c r="B3" s="59"/>
      <c r="C3" s="3" t="s">
        <v>21</v>
      </c>
      <c r="D3" s="2" t="s">
        <v>22</v>
      </c>
      <c r="E3" s="5">
        <v>7</v>
      </c>
      <c r="F3" s="5">
        <v>1</v>
      </c>
      <c r="G3" s="60"/>
      <c r="H3" s="6">
        <v>7</v>
      </c>
      <c r="I3" s="7">
        <f t="shared" si="0"/>
        <v>0</v>
      </c>
      <c r="J3" s="6">
        <v>0</v>
      </c>
      <c r="K3" s="7">
        <f t="shared" si="1"/>
        <v>0</v>
      </c>
      <c r="L3" s="6">
        <v>0</v>
      </c>
      <c r="M3" s="7">
        <f t="shared" si="2"/>
        <v>0</v>
      </c>
      <c r="N3" s="6">
        <v>0</v>
      </c>
      <c r="O3" s="7">
        <f t="shared" si="3"/>
        <v>0</v>
      </c>
      <c r="P3" s="6">
        <v>0</v>
      </c>
      <c r="Q3" s="7">
        <f t="shared" si="4"/>
        <v>0</v>
      </c>
    </row>
    <row r="4" spans="1:17" ht="25.5" customHeight="1">
      <c r="A4" s="58"/>
      <c r="B4" s="59"/>
      <c r="C4" s="3" t="s">
        <v>23</v>
      </c>
      <c r="D4" s="2" t="s">
        <v>24</v>
      </c>
      <c r="E4" s="5">
        <v>5</v>
      </c>
      <c r="F4" s="5">
        <v>1</v>
      </c>
      <c r="G4" s="60"/>
      <c r="H4" s="6">
        <v>5</v>
      </c>
      <c r="I4" s="7">
        <f t="shared" si="0"/>
        <v>0</v>
      </c>
      <c r="J4" s="6">
        <v>0</v>
      </c>
      <c r="K4" s="7">
        <f t="shared" si="1"/>
        <v>0</v>
      </c>
      <c r="L4" s="6">
        <v>0</v>
      </c>
      <c r="M4" s="7">
        <f t="shared" si="2"/>
        <v>0</v>
      </c>
      <c r="N4" s="6">
        <v>0</v>
      </c>
      <c r="O4" s="7">
        <f t="shared" si="3"/>
        <v>0</v>
      </c>
      <c r="P4" s="6">
        <v>0</v>
      </c>
      <c r="Q4" s="7">
        <f t="shared" si="4"/>
        <v>0</v>
      </c>
    </row>
    <row r="5" spans="1:17" ht="25.5" customHeight="1">
      <c r="A5" s="58"/>
      <c r="B5" s="59"/>
      <c r="C5" s="3" t="s">
        <v>25</v>
      </c>
      <c r="D5" s="2" t="s">
        <v>26</v>
      </c>
      <c r="E5" s="5">
        <v>6</v>
      </c>
      <c r="F5" s="5">
        <v>1</v>
      </c>
      <c r="G5" s="60"/>
      <c r="H5" s="6">
        <v>6</v>
      </c>
      <c r="I5" s="7">
        <f t="shared" si="0"/>
        <v>0</v>
      </c>
      <c r="J5" s="6">
        <v>0</v>
      </c>
      <c r="K5" s="7">
        <f t="shared" si="1"/>
        <v>0</v>
      </c>
      <c r="L5" s="6">
        <v>0</v>
      </c>
      <c r="M5" s="7">
        <f t="shared" si="2"/>
        <v>0</v>
      </c>
      <c r="N5" s="6">
        <v>0</v>
      </c>
      <c r="O5" s="7">
        <f t="shared" si="3"/>
        <v>0</v>
      </c>
      <c r="P5" s="6">
        <v>0</v>
      </c>
      <c r="Q5" s="7">
        <f t="shared" si="4"/>
        <v>0</v>
      </c>
    </row>
    <row r="6" spans="1:17" ht="25.5" customHeight="1">
      <c r="A6" s="58"/>
      <c r="B6" s="59" t="s">
        <v>27</v>
      </c>
      <c r="C6" s="3" t="s">
        <v>28</v>
      </c>
      <c r="D6" s="2" t="s">
        <v>29</v>
      </c>
      <c r="E6" s="5">
        <v>4</v>
      </c>
      <c r="F6" s="5">
        <v>1</v>
      </c>
      <c r="G6" s="60"/>
      <c r="H6" s="6">
        <v>4</v>
      </c>
      <c r="I6" s="7">
        <f t="shared" si="0"/>
        <v>0</v>
      </c>
      <c r="J6" s="6">
        <v>0</v>
      </c>
      <c r="K6" s="7">
        <f t="shared" si="1"/>
        <v>0</v>
      </c>
      <c r="L6" s="6">
        <v>0</v>
      </c>
      <c r="M6" s="7">
        <f t="shared" si="2"/>
        <v>0</v>
      </c>
      <c r="N6" s="6">
        <v>0</v>
      </c>
      <c r="O6" s="7">
        <f t="shared" si="3"/>
        <v>0</v>
      </c>
      <c r="P6" s="6">
        <v>0</v>
      </c>
      <c r="Q6" s="7">
        <f t="shared" si="4"/>
        <v>0</v>
      </c>
    </row>
    <row r="7" spans="1:17" ht="25.5" customHeight="1">
      <c r="A7" s="58"/>
      <c r="B7" s="59"/>
      <c r="C7" s="3" t="s">
        <v>30</v>
      </c>
      <c r="D7" s="2" t="s">
        <v>31</v>
      </c>
      <c r="E7" s="5">
        <v>5</v>
      </c>
      <c r="F7" s="5">
        <v>1</v>
      </c>
      <c r="G7" s="60"/>
      <c r="H7" s="6">
        <v>5</v>
      </c>
      <c r="I7" s="7">
        <f t="shared" si="0"/>
        <v>0</v>
      </c>
      <c r="J7" s="6">
        <v>0</v>
      </c>
      <c r="K7" s="7">
        <f t="shared" si="1"/>
        <v>0</v>
      </c>
      <c r="L7" s="6">
        <v>0</v>
      </c>
      <c r="M7" s="7">
        <f t="shared" si="2"/>
        <v>0</v>
      </c>
      <c r="N7" s="6">
        <v>0</v>
      </c>
      <c r="O7" s="7">
        <f t="shared" si="3"/>
        <v>0</v>
      </c>
      <c r="P7" s="6">
        <v>0</v>
      </c>
      <c r="Q7" s="7">
        <f t="shared" si="4"/>
        <v>0</v>
      </c>
    </row>
    <row r="8" spans="1:17" ht="25.5" customHeight="1">
      <c r="A8" s="58"/>
      <c r="B8" s="59"/>
      <c r="C8" s="3" t="s">
        <v>32</v>
      </c>
      <c r="D8" s="2" t="s">
        <v>33</v>
      </c>
      <c r="E8" s="5">
        <v>5</v>
      </c>
      <c r="F8" s="5">
        <v>1</v>
      </c>
      <c r="G8" s="60"/>
      <c r="H8" s="6">
        <v>5</v>
      </c>
      <c r="I8" s="7">
        <f t="shared" si="0"/>
        <v>0</v>
      </c>
      <c r="J8" s="6">
        <v>0</v>
      </c>
      <c r="K8" s="7">
        <f t="shared" si="1"/>
        <v>0</v>
      </c>
      <c r="L8" s="6">
        <v>0</v>
      </c>
      <c r="M8" s="7">
        <f t="shared" si="2"/>
        <v>0</v>
      </c>
      <c r="N8" s="6">
        <v>0</v>
      </c>
      <c r="O8" s="7">
        <f t="shared" si="3"/>
        <v>0</v>
      </c>
      <c r="P8" s="6">
        <v>0</v>
      </c>
      <c r="Q8" s="7">
        <f t="shared" si="4"/>
        <v>0</v>
      </c>
    </row>
    <row r="9" spans="1:17" ht="25.5" customHeight="1">
      <c r="A9" s="58"/>
      <c r="B9" s="59"/>
      <c r="C9" s="3" t="s">
        <v>34</v>
      </c>
      <c r="D9" s="2" t="s">
        <v>35</v>
      </c>
      <c r="E9" s="5">
        <v>6</v>
      </c>
      <c r="F9" s="5">
        <v>1</v>
      </c>
      <c r="G9" s="60"/>
      <c r="H9" s="6">
        <v>6</v>
      </c>
      <c r="I9" s="7">
        <f t="shared" si="0"/>
        <v>0</v>
      </c>
      <c r="J9" s="6">
        <v>0</v>
      </c>
      <c r="K9" s="7">
        <f t="shared" si="1"/>
        <v>0</v>
      </c>
      <c r="L9" s="6">
        <v>0</v>
      </c>
      <c r="M9" s="7">
        <f t="shared" si="2"/>
        <v>0</v>
      </c>
      <c r="N9" s="6">
        <v>0</v>
      </c>
      <c r="O9" s="7">
        <f t="shared" si="3"/>
        <v>0</v>
      </c>
      <c r="P9" s="6">
        <v>0</v>
      </c>
      <c r="Q9" s="7">
        <f t="shared" si="4"/>
        <v>0</v>
      </c>
    </row>
    <row r="10" spans="1:17" ht="25.5" customHeight="1">
      <c r="A10" s="58"/>
      <c r="B10" s="59" t="s">
        <v>36</v>
      </c>
      <c r="C10" s="3" t="s">
        <v>37</v>
      </c>
      <c r="D10" s="2" t="s">
        <v>38</v>
      </c>
      <c r="E10" s="5">
        <v>5</v>
      </c>
      <c r="F10" s="5">
        <v>1</v>
      </c>
      <c r="G10" s="60"/>
      <c r="H10" s="6">
        <v>5</v>
      </c>
      <c r="I10" s="7">
        <f t="shared" si="0"/>
        <v>0</v>
      </c>
      <c r="J10" s="6">
        <v>0</v>
      </c>
      <c r="K10" s="7">
        <f t="shared" si="1"/>
        <v>0</v>
      </c>
      <c r="L10" s="6">
        <v>0</v>
      </c>
      <c r="M10" s="7">
        <f t="shared" si="2"/>
        <v>0</v>
      </c>
      <c r="N10" s="6">
        <v>0</v>
      </c>
      <c r="O10" s="7">
        <f t="shared" si="3"/>
        <v>0</v>
      </c>
      <c r="P10" s="6">
        <v>0</v>
      </c>
      <c r="Q10" s="7">
        <f t="shared" si="4"/>
        <v>0</v>
      </c>
    </row>
    <row r="11" spans="1:17" ht="25.5" customHeight="1">
      <c r="A11" s="58"/>
      <c r="B11" s="59"/>
      <c r="C11" s="3" t="s">
        <v>39</v>
      </c>
      <c r="D11" s="2" t="s">
        <v>40</v>
      </c>
      <c r="E11" s="5">
        <v>8</v>
      </c>
      <c r="F11" s="5">
        <v>1</v>
      </c>
      <c r="G11" s="60"/>
      <c r="H11" s="6">
        <v>0</v>
      </c>
      <c r="I11" s="7">
        <f t="shared" si="0"/>
        <v>8</v>
      </c>
      <c r="J11" s="6">
        <v>8</v>
      </c>
      <c r="K11" s="7">
        <f t="shared" si="1"/>
        <v>0</v>
      </c>
      <c r="L11" s="6">
        <v>0</v>
      </c>
      <c r="M11" s="7">
        <f t="shared" si="2"/>
        <v>0</v>
      </c>
      <c r="N11" s="6">
        <v>0</v>
      </c>
      <c r="O11" s="7">
        <f t="shared" si="3"/>
        <v>0</v>
      </c>
      <c r="P11" s="6">
        <v>0</v>
      </c>
      <c r="Q11" s="7">
        <f t="shared" si="4"/>
        <v>0</v>
      </c>
    </row>
    <row r="12" spans="1:17" ht="25.5" customHeight="1">
      <c r="A12" s="58"/>
      <c r="B12" s="59"/>
      <c r="C12" s="3" t="s">
        <v>41</v>
      </c>
      <c r="D12" s="2" t="s">
        <v>42</v>
      </c>
      <c r="E12" s="5">
        <v>6</v>
      </c>
      <c r="F12" s="5">
        <v>1</v>
      </c>
      <c r="G12" s="60"/>
      <c r="H12" s="6">
        <v>6</v>
      </c>
      <c r="I12" s="7">
        <f t="shared" si="0"/>
        <v>0</v>
      </c>
      <c r="J12" s="6">
        <v>0</v>
      </c>
      <c r="K12" s="7">
        <f t="shared" si="1"/>
        <v>0</v>
      </c>
      <c r="L12" s="6">
        <v>0</v>
      </c>
      <c r="M12" s="7">
        <f t="shared" si="2"/>
        <v>0</v>
      </c>
      <c r="N12" s="6">
        <v>0</v>
      </c>
      <c r="O12" s="7">
        <f t="shared" si="3"/>
        <v>0</v>
      </c>
      <c r="P12" s="6">
        <v>0</v>
      </c>
      <c r="Q12" s="7">
        <f t="shared" si="4"/>
        <v>0</v>
      </c>
    </row>
    <row r="13" spans="1:17" ht="25.5" customHeight="1">
      <c r="A13" s="58"/>
      <c r="B13" s="59"/>
      <c r="C13" s="3" t="s">
        <v>43</v>
      </c>
      <c r="D13" s="2" t="s">
        <v>44</v>
      </c>
      <c r="E13" s="5">
        <v>4</v>
      </c>
      <c r="F13" s="5">
        <v>1</v>
      </c>
      <c r="G13" s="60"/>
      <c r="H13" s="6">
        <v>4</v>
      </c>
      <c r="I13" s="7">
        <f t="shared" si="0"/>
        <v>0</v>
      </c>
      <c r="J13" s="6">
        <v>0</v>
      </c>
      <c r="K13" s="7">
        <f t="shared" si="1"/>
        <v>0</v>
      </c>
      <c r="L13" s="6">
        <v>0</v>
      </c>
      <c r="M13" s="7">
        <f t="shared" si="2"/>
        <v>0</v>
      </c>
      <c r="N13" s="6">
        <v>0</v>
      </c>
      <c r="O13" s="7">
        <f t="shared" si="3"/>
        <v>0</v>
      </c>
      <c r="P13" s="6">
        <v>0</v>
      </c>
      <c r="Q13" s="7">
        <f t="shared" si="4"/>
        <v>0</v>
      </c>
    </row>
    <row r="14" spans="1:17" ht="25.5" customHeight="1">
      <c r="A14" s="58" t="s">
        <v>45</v>
      </c>
      <c r="B14" s="59" t="s">
        <v>46</v>
      </c>
      <c r="C14" s="3" t="s">
        <v>47</v>
      </c>
      <c r="D14" s="2" t="s">
        <v>48</v>
      </c>
      <c r="E14" s="5">
        <v>5</v>
      </c>
      <c r="F14" s="5">
        <v>1</v>
      </c>
      <c r="G14" s="60"/>
      <c r="H14" s="6">
        <v>5</v>
      </c>
      <c r="I14" s="7">
        <f t="shared" si="0"/>
        <v>0</v>
      </c>
      <c r="J14" s="6">
        <v>0</v>
      </c>
      <c r="K14" s="7">
        <f t="shared" si="1"/>
        <v>0</v>
      </c>
      <c r="L14" s="6">
        <v>0</v>
      </c>
      <c r="M14" s="7">
        <f t="shared" si="2"/>
        <v>0</v>
      </c>
      <c r="N14" s="6">
        <v>0</v>
      </c>
      <c r="O14" s="7">
        <f t="shared" si="3"/>
        <v>0</v>
      </c>
      <c r="P14" s="6">
        <v>0</v>
      </c>
      <c r="Q14" s="7">
        <f t="shared" si="4"/>
        <v>0</v>
      </c>
    </row>
    <row r="15" spans="1:17" ht="25.5" customHeight="1">
      <c r="A15" s="58"/>
      <c r="B15" s="59"/>
      <c r="C15" s="3" t="s">
        <v>49</v>
      </c>
      <c r="D15" s="2" t="s">
        <v>50</v>
      </c>
      <c r="E15" s="5">
        <v>5</v>
      </c>
      <c r="F15" s="5">
        <v>2</v>
      </c>
      <c r="G15" s="60">
        <f>SUMIF($F$2:$F$62,F15,$E$2:$E$62)</f>
        <v>70</v>
      </c>
      <c r="H15" s="6">
        <v>0</v>
      </c>
      <c r="I15" s="7">
        <f t="shared" si="0"/>
        <v>5</v>
      </c>
      <c r="J15" s="6">
        <v>0</v>
      </c>
      <c r="K15" s="7">
        <f t="shared" si="1"/>
        <v>5</v>
      </c>
      <c r="L15" s="6">
        <v>5</v>
      </c>
      <c r="M15" s="7">
        <f t="shared" si="2"/>
        <v>0</v>
      </c>
      <c r="N15" s="6">
        <v>0</v>
      </c>
      <c r="O15" s="7">
        <f t="shared" si="3"/>
        <v>0</v>
      </c>
      <c r="P15" s="6">
        <v>0</v>
      </c>
      <c r="Q15" s="7">
        <f t="shared" si="4"/>
        <v>0</v>
      </c>
    </row>
    <row r="16" spans="1:17" ht="25.5" customHeight="1">
      <c r="A16" s="58"/>
      <c r="B16" s="59"/>
      <c r="C16" s="3" t="s">
        <v>51</v>
      </c>
      <c r="D16" s="2" t="s">
        <v>52</v>
      </c>
      <c r="E16" s="5">
        <v>8</v>
      </c>
      <c r="F16" s="5">
        <v>2</v>
      </c>
      <c r="G16" s="60"/>
      <c r="H16" s="6">
        <v>0</v>
      </c>
      <c r="I16" s="7">
        <f t="shared" si="0"/>
        <v>8</v>
      </c>
      <c r="J16" s="6">
        <v>8</v>
      </c>
      <c r="K16" s="7">
        <f t="shared" si="1"/>
        <v>0</v>
      </c>
      <c r="L16" s="6">
        <v>0</v>
      </c>
      <c r="M16" s="7">
        <f t="shared" si="2"/>
        <v>0</v>
      </c>
      <c r="N16" s="6">
        <v>0</v>
      </c>
      <c r="O16" s="7">
        <f t="shared" si="3"/>
        <v>0</v>
      </c>
      <c r="P16" s="6">
        <v>0</v>
      </c>
      <c r="Q16" s="7">
        <f t="shared" si="4"/>
        <v>0</v>
      </c>
    </row>
    <row r="17" spans="1:17" ht="25.5" customHeight="1">
      <c r="A17" s="58"/>
      <c r="B17" s="59" t="s">
        <v>53</v>
      </c>
      <c r="C17" s="3" t="s">
        <v>54</v>
      </c>
      <c r="D17" s="2" t="s">
        <v>55</v>
      </c>
      <c r="E17" s="5">
        <v>8</v>
      </c>
      <c r="F17" s="5">
        <v>2</v>
      </c>
      <c r="G17" s="60"/>
      <c r="H17" s="6">
        <v>0</v>
      </c>
      <c r="I17" s="7">
        <f t="shared" si="0"/>
        <v>8</v>
      </c>
      <c r="J17" s="6">
        <v>8</v>
      </c>
      <c r="K17" s="7">
        <f t="shared" si="1"/>
        <v>0</v>
      </c>
      <c r="L17" s="6">
        <v>0</v>
      </c>
      <c r="M17" s="7">
        <f t="shared" si="2"/>
        <v>0</v>
      </c>
      <c r="N17" s="6">
        <v>0</v>
      </c>
      <c r="O17" s="7">
        <f t="shared" si="3"/>
        <v>0</v>
      </c>
      <c r="P17" s="6">
        <v>0</v>
      </c>
      <c r="Q17" s="7">
        <f t="shared" si="4"/>
        <v>0</v>
      </c>
    </row>
    <row r="18" spans="1:17" ht="25.5" customHeight="1">
      <c r="A18" s="58"/>
      <c r="B18" s="59"/>
      <c r="C18" s="3" t="s">
        <v>56</v>
      </c>
      <c r="D18" s="2" t="s">
        <v>57</v>
      </c>
      <c r="E18" s="5">
        <v>8</v>
      </c>
      <c r="F18" s="5">
        <v>2</v>
      </c>
      <c r="G18" s="60"/>
      <c r="H18" s="6">
        <v>0</v>
      </c>
      <c r="I18" s="7">
        <f t="shared" si="0"/>
        <v>8</v>
      </c>
      <c r="J18" s="6">
        <v>8</v>
      </c>
      <c r="K18" s="7">
        <f t="shared" si="1"/>
        <v>0</v>
      </c>
      <c r="L18" s="6">
        <v>0</v>
      </c>
      <c r="M18" s="7">
        <f t="shared" si="2"/>
        <v>0</v>
      </c>
      <c r="N18" s="6">
        <v>0</v>
      </c>
      <c r="O18" s="7">
        <f t="shared" si="3"/>
        <v>0</v>
      </c>
      <c r="P18" s="6">
        <v>0</v>
      </c>
      <c r="Q18" s="7">
        <f t="shared" si="4"/>
        <v>0</v>
      </c>
    </row>
    <row r="19" spans="1:17" ht="25.5" customHeight="1">
      <c r="A19" s="58"/>
      <c r="B19" s="59"/>
      <c r="C19" s="3" t="s">
        <v>58</v>
      </c>
      <c r="D19" s="2" t="s">
        <v>59</v>
      </c>
      <c r="E19" s="5">
        <v>7</v>
      </c>
      <c r="F19" s="5">
        <v>2</v>
      </c>
      <c r="G19" s="60"/>
      <c r="H19" s="6">
        <v>0</v>
      </c>
      <c r="I19" s="7">
        <f t="shared" si="0"/>
        <v>7</v>
      </c>
      <c r="J19" s="6">
        <v>7</v>
      </c>
      <c r="K19" s="7">
        <f t="shared" si="1"/>
        <v>0</v>
      </c>
      <c r="L19" s="6">
        <v>0</v>
      </c>
      <c r="M19" s="7">
        <f t="shared" si="2"/>
        <v>0</v>
      </c>
      <c r="N19" s="6">
        <v>0</v>
      </c>
      <c r="O19" s="7">
        <f t="shared" si="3"/>
        <v>0</v>
      </c>
      <c r="P19" s="6">
        <v>0</v>
      </c>
      <c r="Q19" s="7">
        <f t="shared" si="4"/>
        <v>0</v>
      </c>
    </row>
    <row r="20" spans="1:17" ht="25.5" customHeight="1">
      <c r="A20" s="58"/>
      <c r="B20" s="59"/>
      <c r="C20" s="3" t="s">
        <v>60</v>
      </c>
      <c r="D20" s="2" t="s">
        <v>61</v>
      </c>
      <c r="E20" s="5">
        <v>9</v>
      </c>
      <c r="F20" s="5">
        <v>2</v>
      </c>
      <c r="G20" s="60"/>
      <c r="H20" s="6">
        <v>0</v>
      </c>
      <c r="I20" s="7">
        <f t="shared" si="0"/>
        <v>9</v>
      </c>
      <c r="J20" s="6">
        <v>9</v>
      </c>
      <c r="K20" s="7">
        <f t="shared" si="1"/>
        <v>0</v>
      </c>
      <c r="L20" s="6">
        <v>0</v>
      </c>
      <c r="M20" s="7">
        <f t="shared" si="2"/>
        <v>0</v>
      </c>
      <c r="N20" s="6">
        <v>0</v>
      </c>
      <c r="O20" s="7">
        <f t="shared" si="3"/>
        <v>0</v>
      </c>
      <c r="P20" s="6">
        <v>0</v>
      </c>
      <c r="Q20" s="7">
        <f t="shared" si="4"/>
        <v>0</v>
      </c>
    </row>
    <row r="21" spans="1:17" ht="25.5" customHeight="1">
      <c r="A21" s="58"/>
      <c r="B21" s="59" t="s">
        <v>62</v>
      </c>
      <c r="C21" s="3" t="s">
        <v>63</v>
      </c>
      <c r="D21" s="2" t="s">
        <v>64</v>
      </c>
      <c r="E21" s="5">
        <v>5</v>
      </c>
      <c r="F21" s="5">
        <v>2</v>
      </c>
      <c r="G21" s="60"/>
      <c r="H21" s="6">
        <v>0</v>
      </c>
      <c r="I21" s="7">
        <f t="shared" si="0"/>
        <v>5</v>
      </c>
      <c r="J21" s="6">
        <v>5</v>
      </c>
      <c r="K21" s="7">
        <f t="shared" si="1"/>
        <v>0</v>
      </c>
      <c r="L21" s="6">
        <v>0</v>
      </c>
      <c r="M21" s="7">
        <f t="shared" si="2"/>
        <v>0</v>
      </c>
      <c r="N21" s="6">
        <v>0</v>
      </c>
      <c r="O21" s="7">
        <f t="shared" si="3"/>
        <v>0</v>
      </c>
      <c r="P21" s="6">
        <v>0</v>
      </c>
      <c r="Q21" s="7">
        <f t="shared" si="4"/>
        <v>0</v>
      </c>
    </row>
    <row r="22" spans="1:17" ht="25.5" customHeight="1">
      <c r="A22" s="58"/>
      <c r="B22" s="59"/>
      <c r="C22" s="3" t="s">
        <v>65</v>
      </c>
      <c r="D22" s="2" t="s">
        <v>66</v>
      </c>
      <c r="E22" s="5">
        <v>6</v>
      </c>
      <c r="F22" s="5">
        <v>2</v>
      </c>
      <c r="G22" s="60"/>
      <c r="H22" s="6">
        <v>0</v>
      </c>
      <c r="I22" s="7">
        <f t="shared" si="0"/>
        <v>6</v>
      </c>
      <c r="J22" s="6">
        <v>6</v>
      </c>
      <c r="K22" s="7">
        <f t="shared" si="1"/>
        <v>0</v>
      </c>
      <c r="L22" s="6">
        <v>0</v>
      </c>
      <c r="M22" s="7">
        <f t="shared" si="2"/>
        <v>0</v>
      </c>
      <c r="N22" s="6">
        <v>0</v>
      </c>
      <c r="O22" s="7">
        <f t="shared" si="3"/>
        <v>0</v>
      </c>
      <c r="P22" s="6">
        <v>0</v>
      </c>
      <c r="Q22" s="7">
        <f t="shared" si="4"/>
        <v>0</v>
      </c>
    </row>
    <row r="23" spans="1:17" ht="25.5" customHeight="1">
      <c r="A23" s="58"/>
      <c r="B23" s="59"/>
      <c r="C23" s="3" t="s">
        <v>67</v>
      </c>
      <c r="D23" s="2" t="s">
        <v>68</v>
      </c>
      <c r="E23" s="5">
        <v>5</v>
      </c>
      <c r="F23" s="5">
        <v>2</v>
      </c>
      <c r="G23" s="60"/>
      <c r="H23" s="6">
        <v>0</v>
      </c>
      <c r="I23" s="7">
        <f t="shared" si="0"/>
        <v>5</v>
      </c>
      <c r="J23" s="6">
        <v>5</v>
      </c>
      <c r="K23" s="7">
        <f t="shared" si="1"/>
        <v>0</v>
      </c>
      <c r="L23" s="6">
        <v>0</v>
      </c>
      <c r="M23" s="7">
        <f t="shared" si="2"/>
        <v>0</v>
      </c>
      <c r="N23" s="6">
        <v>0</v>
      </c>
      <c r="O23" s="7">
        <f t="shared" si="3"/>
        <v>0</v>
      </c>
      <c r="P23" s="6">
        <v>0</v>
      </c>
      <c r="Q23" s="7">
        <f t="shared" si="4"/>
        <v>0</v>
      </c>
    </row>
    <row r="24" spans="1:17" ht="25.5" customHeight="1">
      <c r="A24" s="58"/>
      <c r="B24" s="59"/>
      <c r="C24" s="3" t="s">
        <v>69</v>
      </c>
      <c r="D24" s="2" t="s">
        <v>70</v>
      </c>
      <c r="E24" s="5">
        <v>4</v>
      </c>
      <c r="F24" s="5">
        <v>2</v>
      </c>
      <c r="G24" s="60"/>
      <c r="H24" s="6">
        <v>0</v>
      </c>
      <c r="I24" s="7">
        <f t="shared" si="0"/>
        <v>4</v>
      </c>
      <c r="J24" s="6">
        <v>4</v>
      </c>
      <c r="K24" s="7">
        <f t="shared" si="1"/>
        <v>0</v>
      </c>
      <c r="L24" s="6">
        <v>0</v>
      </c>
      <c r="M24" s="7">
        <f t="shared" si="2"/>
        <v>0</v>
      </c>
      <c r="N24" s="6">
        <v>0</v>
      </c>
      <c r="O24" s="7">
        <f t="shared" si="3"/>
        <v>0</v>
      </c>
      <c r="P24" s="6">
        <v>0</v>
      </c>
      <c r="Q24" s="7">
        <f t="shared" si="4"/>
        <v>0</v>
      </c>
    </row>
    <row r="25" spans="1:17" ht="25.5" customHeight="1">
      <c r="A25" s="58" t="s">
        <v>71</v>
      </c>
      <c r="B25" s="59" t="s">
        <v>72</v>
      </c>
      <c r="C25" s="3" t="s">
        <v>73</v>
      </c>
      <c r="D25" s="2" t="s">
        <v>74</v>
      </c>
      <c r="E25" s="5">
        <v>5</v>
      </c>
      <c r="F25" s="5">
        <v>2</v>
      </c>
      <c r="G25" s="60"/>
      <c r="H25" s="6">
        <v>0</v>
      </c>
      <c r="I25" s="7">
        <f t="shared" si="0"/>
        <v>5</v>
      </c>
      <c r="J25" s="6">
        <v>0</v>
      </c>
      <c r="K25" s="7">
        <f t="shared" si="1"/>
        <v>5</v>
      </c>
      <c r="L25" s="6">
        <v>5</v>
      </c>
      <c r="M25" s="7">
        <f t="shared" si="2"/>
        <v>0</v>
      </c>
      <c r="N25" s="6">
        <v>0</v>
      </c>
      <c r="O25" s="7">
        <f t="shared" si="3"/>
        <v>0</v>
      </c>
      <c r="P25" s="6">
        <v>0</v>
      </c>
      <c r="Q25" s="7">
        <f t="shared" si="4"/>
        <v>0</v>
      </c>
    </row>
    <row r="26" spans="1:17" ht="25.5" customHeight="1">
      <c r="A26" s="58"/>
      <c r="B26" s="59"/>
      <c r="C26" s="3" t="s">
        <v>75</v>
      </c>
      <c r="D26" s="2" t="s">
        <v>76</v>
      </c>
      <c r="E26" s="5">
        <v>5</v>
      </c>
      <c r="F26" s="5">
        <v>3</v>
      </c>
      <c r="G26" s="60">
        <f>SUMIF($F$2:$F$62,F26,$E$2:$E$62)</f>
        <v>70</v>
      </c>
      <c r="H26" s="6">
        <v>0</v>
      </c>
      <c r="I26" s="7">
        <f t="shared" si="0"/>
        <v>5</v>
      </c>
      <c r="J26" s="6">
        <v>0</v>
      </c>
      <c r="K26" s="7">
        <f t="shared" si="1"/>
        <v>5</v>
      </c>
      <c r="L26" s="6">
        <v>5</v>
      </c>
      <c r="M26" s="7">
        <f t="shared" si="2"/>
        <v>0</v>
      </c>
      <c r="N26" s="6">
        <v>0</v>
      </c>
      <c r="O26" s="7">
        <f t="shared" si="3"/>
        <v>0</v>
      </c>
      <c r="P26" s="6">
        <v>0</v>
      </c>
      <c r="Q26" s="7">
        <f t="shared" si="4"/>
        <v>0</v>
      </c>
    </row>
    <row r="27" spans="1:17" ht="25.5" customHeight="1">
      <c r="A27" s="58"/>
      <c r="B27" s="59"/>
      <c r="C27" s="3" t="s">
        <v>77</v>
      </c>
      <c r="D27" s="2" t="s">
        <v>78</v>
      </c>
      <c r="E27" s="5">
        <v>6</v>
      </c>
      <c r="F27" s="5">
        <v>3</v>
      </c>
      <c r="G27" s="60"/>
      <c r="H27" s="6">
        <v>0</v>
      </c>
      <c r="I27" s="7">
        <f t="shared" si="0"/>
        <v>6</v>
      </c>
      <c r="J27" s="6">
        <v>0</v>
      </c>
      <c r="K27" s="7">
        <f t="shared" si="1"/>
        <v>6</v>
      </c>
      <c r="L27" s="6">
        <v>6</v>
      </c>
      <c r="M27" s="7">
        <f t="shared" si="2"/>
        <v>0</v>
      </c>
      <c r="N27" s="6">
        <v>0</v>
      </c>
      <c r="O27" s="7">
        <f t="shared" si="3"/>
        <v>0</v>
      </c>
      <c r="P27" s="6">
        <v>0</v>
      </c>
      <c r="Q27" s="7">
        <f t="shared" si="4"/>
        <v>0</v>
      </c>
    </row>
    <row r="28" spans="1:17" ht="25.5" customHeight="1">
      <c r="A28" s="58"/>
      <c r="B28" s="59"/>
      <c r="C28" s="3" t="s">
        <v>79</v>
      </c>
      <c r="D28" s="2" t="s">
        <v>80</v>
      </c>
      <c r="E28" s="5">
        <v>6</v>
      </c>
      <c r="F28" s="5">
        <v>3</v>
      </c>
      <c r="G28" s="60"/>
      <c r="H28" s="6">
        <v>0</v>
      </c>
      <c r="I28" s="7">
        <f t="shared" si="0"/>
        <v>6</v>
      </c>
      <c r="J28" s="6">
        <v>0</v>
      </c>
      <c r="K28" s="7">
        <f t="shared" si="1"/>
        <v>6</v>
      </c>
      <c r="L28" s="6">
        <v>6</v>
      </c>
      <c r="M28" s="7">
        <f t="shared" si="2"/>
        <v>0</v>
      </c>
      <c r="N28" s="6">
        <v>0</v>
      </c>
      <c r="O28" s="7">
        <f t="shared" si="3"/>
        <v>0</v>
      </c>
      <c r="P28" s="6">
        <v>0</v>
      </c>
      <c r="Q28" s="7">
        <f t="shared" si="4"/>
        <v>0</v>
      </c>
    </row>
    <row r="29" spans="1:17" ht="25.5" customHeight="1">
      <c r="A29" s="58"/>
      <c r="B29" s="59" t="s">
        <v>81</v>
      </c>
      <c r="C29" s="3" t="s">
        <v>82</v>
      </c>
      <c r="D29" s="2" t="s">
        <v>83</v>
      </c>
      <c r="E29" s="5">
        <v>5</v>
      </c>
      <c r="F29" s="5">
        <v>3</v>
      </c>
      <c r="G29" s="60"/>
      <c r="H29" s="6">
        <v>0</v>
      </c>
      <c r="I29" s="7">
        <f t="shared" si="0"/>
        <v>5</v>
      </c>
      <c r="J29" s="6">
        <v>0</v>
      </c>
      <c r="K29" s="7">
        <f t="shared" si="1"/>
        <v>5</v>
      </c>
      <c r="L29" s="6">
        <v>5</v>
      </c>
      <c r="M29" s="7">
        <f t="shared" si="2"/>
        <v>0</v>
      </c>
      <c r="N29" s="6">
        <v>0</v>
      </c>
      <c r="O29" s="7">
        <f t="shared" si="3"/>
        <v>0</v>
      </c>
      <c r="P29" s="6">
        <v>0</v>
      </c>
      <c r="Q29" s="7">
        <f t="shared" si="4"/>
        <v>0</v>
      </c>
    </row>
    <row r="30" spans="1:17" ht="25.5" customHeight="1">
      <c r="A30" s="58"/>
      <c r="B30" s="59"/>
      <c r="C30" s="3" t="s">
        <v>84</v>
      </c>
      <c r="D30" s="2" t="s">
        <v>85</v>
      </c>
      <c r="E30" s="5">
        <v>6</v>
      </c>
      <c r="F30" s="5">
        <v>3</v>
      </c>
      <c r="G30" s="60"/>
      <c r="H30" s="6">
        <v>0</v>
      </c>
      <c r="I30" s="7">
        <f t="shared" si="0"/>
        <v>6</v>
      </c>
      <c r="J30" s="6">
        <v>0</v>
      </c>
      <c r="K30" s="7">
        <f t="shared" si="1"/>
        <v>6</v>
      </c>
      <c r="L30" s="6">
        <v>6</v>
      </c>
      <c r="M30" s="7">
        <f t="shared" si="2"/>
        <v>0</v>
      </c>
      <c r="N30" s="6">
        <v>0</v>
      </c>
      <c r="O30" s="7">
        <f t="shared" si="3"/>
        <v>0</v>
      </c>
      <c r="P30" s="6">
        <v>0</v>
      </c>
      <c r="Q30" s="7">
        <f t="shared" si="4"/>
        <v>0</v>
      </c>
    </row>
    <row r="31" spans="1:17" ht="25.5" customHeight="1">
      <c r="A31" s="58"/>
      <c r="B31" s="59"/>
      <c r="C31" s="3" t="s">
        <v>86</v>
      </c>
      <c r="D31" s="2" t="s">
        <v>87</v>
      </c>
      <c r="E31" s="5">
        <v>7</v>
      </c>
      <c r="F31" s="5">
        <v>3</v>
      </c>
      <c r="G31" s="60"/>
      <c r="H31" s="6">
        <v>0</v>
      </c>
      <c r="I31" s="7">
        <f t="shared" si="0"/>
        <v>7</v>
      </c>
      <c r="J31" s="6">
        <v>0</v>
      </c>
      <c r="K31" s="7">
        <f t="shared" si="1"/>
        <v>7</v>
      </c>
      <c r="L31" s="6">
        <v>7</v>
      </c>
      <c r="M31" s="7">
        <f t="shared" si="2"/>
        <v>0</v>
      </c>
      <c r="N31" s="6">
        <v>0</v>
      </c>
      <c r="O31" s="7">
        <f t="shared" si="3"/>
        <v>0</v>
      </c>
      <c r="P31" s="6">
        <v>0</v>
      </c>
      <c r="Q31" s="7">
        <f t="shared" si="4"/>
        <v>0</v>
      </c>
    </row>
    <row r="32" spans="1:17" ht="25.5" customHeight="1">
      <c r="A32" s="58"/>
      <c r="B32" s="59" t="s">
        <v>88</v>
      </c>
      <c r="C32" s="3" t="s">
        <v>89</v>
      </c>
      <c r="D32" s="2" t="s">
        <v>90</v>
      </c>
      <c r="E32" s="5">
        <v>7</v>
      </c>
      <c r="F32" s="5">
        <v>3</v>
      </c>
      <c r="G32" s="60"/>
      <c r="H32" s="6">
        <v>0</v>
      </c>
      <c r="I32" s="7">
        <f t="shared" si="0"/>
        <v>7</v>
      </c>
      <c r="J32" s="6">
        <v>0</v>
      </c>
      <c r="K32" s="7">
        <f t="shared" si="1"/>
        <v>7</v>
      </c>
      <c r="L32" s="6">
        <v>7</v>
      </c>
      <c r="M32" s="7">
        <f t="shared" si="2"/>
        <v>0</v>
      </c>
      <c r="N32" s="6">
        <v>0</v>
      </c>
      <c r="O32" s="7">
        <f t="shared" si="3"/>
        <v>0</v>
      </c>
      <c r="P32" s="6">
        <v>0</v>
      </c>
      <c r="Q32" s="7">
        <f t="shared" si="4"/>
        <v>0</v>
      </c>
    </row>
    <row r="33" spans="1:17" ht="25.5" customHeight="1">
      <c r="A33" s="58"/>
      <c r="B33" s="59"/>
      <c r="C33" s="3" t="s">
        <v>91</v>
      </c>
      <c r="D33" s="2" t="s">
        <v>92</v>
      </c>
      <c r="E33" s="5">
        <v>5</v>
      </c>
      <c r="F33" s="5">
        <v>3</v>
      </c>
      <c r="G33" s="60"/>
      <c r="H33" s="6">
        <v>0</v>
      </c>
      <c r="I33" s="7">
        <f t="shared" si="0"/>
        <v>5</v>
      </c>
      <c r="J33" s="6">
        <v>0</v>
      </c>
      <c r="K33" s="7">
        <f t="shared" si="1"/>
        <v>5</v>
      </c>
      <c r="L33" s="6">
        <v>5</v>
      </c>
      <c r="M33" s="7">
        <f t="shared" si="2"/>
        <v>0</v>
      </c>
      <c r="N33" s="6">
        <v>0</v>
      </c>
      <c r="O33" s="7">
        <f t="shared" si="3"/>
        <v>0</v>
      </c>
      <c r="P33" s="6">
        <v>0</v>
      </c>
      <c r="Q33" s="7">
        <f t="shared" si="4"/>
        <v>0</v>
      </c>
    </row>
    <row r="34" spans="1:17" ht="25.5" customHeight="1">
      <c r="A34" s="58"/>
      <c r="B34" s="59"/>
      <c r="C34" s="3" t="s">
        <v>93</v>
      </c>
      <c r="D34" s="2" t="s">
        <v>94</v>
      </c>
      <c r="E34" s="5">
        <v>6</v>
      </c>
      <c r="F34" s="5">
        <v>3</v>
      </c>
      <c r="G34" s="60"/>
      <c r="H34" s="6">
        <v>0</v>
      </c>
      <c r="I34" s="7">
        <f t="shared" ref="I34:I65" si="5">MAX(0,E34-H34)</f>
        <v>6</v>
      </c>
      <c r="J34" s="6">
        <v>0</v>
      </c>
      <c r="K34" s="7">
        <f t="shared" ref="K34:K65" si="6">MAX(0,I34-J34)</f>
        <v>6</v>
      </c>
      <c r="L34" s="6">
        <v>6</v>
      </c>
      <c r="M34" s="7">
        <f t="shared" ref="M34:M65" si="7">MAX(0,K34-L34)</f>
        <v>0</v>
      </c>
      <c r="N34" s="6">
        <v>0</v>
      </c>
      <c r="O34" s="7">
        <f t="shared" ref="O34:O65" si="8">MAX(0,M34-N34)</f>
        <v>0</v>
      </c>
      <c r="P34" s="6">
        <v>0</v>
      </c>
      <c r="Q34" s="7">
        <f t="shared" ref="Q34:Q65" si="9">MAX(0,O34-P34)</f>
        <v>0</v>
      </c>
    </row>
    <row r="35" spans="1:17" ht="25.5" customHeight="1">
      <c r="A35" s="58"/>
      <c r="B35" s="59"/>
      <c r="C35" s="3" t="s">
        <v>95</v>
      </c>
      <c r="D35" s="2" t="s">
        <v>96</v>
      </c>
      <c r="E35" s="5">
        <v>6</v>
      </c>
      <c r="F35" s="5">
        <v>3</v>
      </c>
      <c r="G35" s="60"/>
      <c r="H35" s="6">
        <v>0</v>
      </c>
      <c r="I35" s="7">
        <f t="shared" si="5"/>
        <v>6</v>
      </c>
      <c r="J35" s="6">
        <v>0</v>
      </c>
      <c r="K35" s="7">
        <f t="shared" si="6"/>
        <v>6</v>
      </c>
      <c r="L35" s="6">
        <v>6</v>
      </c>
      <c r="M35" s="7">
        <f t="shared" si="7"/>
        <v>0</v>
      </c>
      <c r="N35" s="6">
        <v>0</v>
      </c>
      <c r="O35" s="7">
        <f t="shared" si="8"/>
        <v>0</v>
      </c>
      <c r="P35" s="6">
        <v>0</v>
      </c>
      <c r="Q35" s="7">
        <f t="shared" si="9"/>
        <v>0</v>
      </c>
    </row>
    <row r="36" spans="1:17" ht="25.5" customHeight="1">
      <c r="A36" s="58"/>
      <c r="B36" s="59"/>
      <c r="C36" s="3" t="s">
        <v>97</v>
      </c>
      <c r="D36" s="2" t="s">
        <v>98</v>
      </c>
      <c r="E36" s="5">
        <v>6</v>
      </c>
      <c r="F36" s="5">
        <v>3</v>
      </c>
      <c r="G36" s="60"/>
      <c r="H36" s="6">
        <v>0</v>
      </c>
      <c r="I36" s="7">
        <f t="shared" si="5"/>
        <v>6</v>
      </c>
      <c r="J36" s="6">
        <v>0</v>
      </c>
      <c r="K36" s="7">
        <f t="shared" si="6"/>
        <v>6</v>
      </c>
      <c r="L36" s="6">
        <v>6</v>
      </c>
      <c r="M36" s="7">
        <f t="shared" si="7"/>
        <v>0</v>
      </c>
      <c r="N36" s="6">
        <v>0</v>
      </c>
      <c r="O36" s="7">
        <f t="shared" si="8"/>
        <v>0</v>
      </c>
      <c r="P36" s="6">
        <v>0</v>
      </c>
      <c r="Q36" s="7">
        <f t="shared" si="9"/>
        <v>0</v>
      </c>
    </row>
    <row r="37" spans="1:17" ht="25.5" customHeight="1">
      <c r="A37" s="58" t="s">
        <v>99</v>
      </c>
      <c r="B37" s="59" t="s">
        <v>100</v>
      </c>
      <c r="C37" s="3" t="s">
        <v>101</v>
      </c>
      <c r="D37" s="2" t="s">
        <v>102</v>
      </c>
      <c r="E37" s="5">
        <v>5</v>
      </c>
      <c r="F37" s="5">
        <v>3</v>
      </c>
      <c r="G37" s="60"/>
      <c r="H37" s="6">
        <v>0</v>
      </c>
      <c r="I37" s="7">
        <f t="shared" si="5"/>
        <v>5</v>
      </c>
      <c r="J37" s="6">
        <v>0</v>
      </c>
      <c r="K37" s="7">
        <f t="shared" si="6"/>
        <v>5</v>
      </c>
      <c r="L37" s="6">
        <v>5</v>
      </c>
      <c r="M37" s="7">
        <f t="shared" si="7"/>
        <v>0</v>
      </c>
      <c r="N37" s="6">
        <v>0</v>
      </c>
      <c r="O37" s="7">
        <f t="shared" si="8"/>
        <v>0</v>
      </c>
      <c r="P37" s="6">
        <v>0</v>
      </c>
      <c r="Q37" s="7">
        <f t="shared" si="9"/>
        <v>0</v>
      </c>
    </row>
    <row r="38" spans="1:17" ht="25.5" customHeight="1">
      <c r="A38" s="58"/>
      <c r="B38" s="59"/>
      <c r="C38" s="3" t="s">
        <v>103</v>
      </c>
      <c r="D38" s="2" t="s">
        <v>104</v>
      </c>
      <c r="E38" s="5">
        <v>5</v>
      </c>
      <c r="F38" s="5">
        <v>4</v>
      </c>
      <c r="G38" s="60">
        <f>SUMIF($F$2:$F$62,F38,$E$2:$E$62)</f>
        <v>70</v>
      </c>
      <c r="H38" s="6">
        <v>0</v>
      </c>
      <c r="I38" s="7">
        <f t="shared" si="5"/>
        <v>5</v>
      </c>
      <c r="J38" s="6">
        <v>0</v>
      </c>
      <c r="K38" s="7">
        <f t="shared" si="6"/>
        <v>5</v>
      </c>
      <c r="L38" s="6">
        <v>0</v>
      </c>
      <c r="M38" s="7">
        <f t="shared" si="7"/>
        <v>5</v>
      </c>
      <c r="N38" s="6">
        <v>5</v>
      </c>
      <c r="O38" s="7">
        <f t="shared" si="8"/>
        <v>0</v>
      </c>
      <c r="P38" s="6">
        <v>0</v>
      </c>
      <c r="Q38" s="7">
        <f t="shared" si="9"/>
        <v>0</v>
      </c>
    </row>
    <row r="39" spans="1:17" ht="25.5" customHeight="1">
      <c r="A39" s="58"/>
      <c r="B39" s="59"/>
      <c r="C39" s="3" t="s">
        <v>105</v>
      </c>
      <c r="D39" s="2" t="s">
        <v>106</v>
      </c>
      <c r="E39" s="5">
        <v>5</v>
      </c>
      <c r="F39" s="5">
        <v>4</v>
      </c>
      <c r="G39" s="60"/>
      <c r="H39" s="6">
        <v>0</v>
      </c>
      <c r="I39" s="7">
        <f t="shared" si="5"/>
        <v>5</v>
      </c>
      <c r="J39" s="6">
        <v>0</v>
      </c>
      <c r="K39" s="7">
        <f t="shared" si="6"/>
        <v>5</v>
      </c>
      <c r="L39" s="6">
        <v>0</v>
      </c>
      <c r="M39" s="7">
        <f t="shared" si="7"/>
        <v>5</v>
      </c>
      <c r="N39" s="6">
        <v>5</v>
      </c>
      <c r="O39" s="7">
        <f t="shared" si="8"/>
        <v>0</v>
      </c>
      <c r="P39" s="6">
        <v>0</v>
      </c>
      <c r="Q39" s="7">
        <f t="shared" si="9"/>
        <v>0</v>
      </c>
    </row>
    <row r="40" spans="1:17" ht="25.5" customHeight="1">
      <c r="A40" s="58"/>
      <c r="B40" s="59"/>
      <c r="C40" s="3" t="s">
        <v>107</v>
      </c>
      <c r="D40" s="2" t="s">
        <v>108</v>
      </c>
      <c r="E40" s="5">
        <v>5</v>
      </c>
      <c r="F40" s="5">
        <v>4</v>
      </c>
      <c r="G40" s="60"/>
      <c r="H40" s="6">
        <v>0</v>
      </c>
      <c r="I40" s="7">
        <f t="shared" si="5"/>
        <v>5</v>
      </c>
      <c r="J40" s="6">
        <v>0</v>
      </c>
      <c r="K40" s="7">
        <f t="shared" si="6"/>
        <v>5</v>
      </c>
      <c r="L40" s="6">
        <v>0</v>
      </c>
      <c r="M40" s="7">
        <f t="shared" si="7"/>
        <v>5</v>
      </c>
      <c r="N40" s="6">
        <v>5</v>
      </c>
      <c r="O40" s="7">
        <f t="shared" si="8"/>
        <v>0</v>
      </c>
      <c r="P40" s="6">
        <v>0</v>
      </c>
      <c r="Q40" s="7">
        <f t="shared" si="9"/>
        <v>0</v>
      </c>
    </row>
    <row r="41" spans="1:17" ht="25.5" customHeight="1">
      <c r="A41" s="58"/>
      <c r="B41" s="59" t="s">
        <v>109</v>
      </c>
      <c r="C41" s="3" t="s">
        <v>110</v>
      </c>
      <c r="D41" s="2" t="s">
        <v>111</v>
      </c>
      <c r="E41" s="5">
        <v>5</v>
      </c>
      <c r="F41" s="5">
        <v>4</v>
      </c>
      <c r="G41" s="60"/>
      <c r="H41" s="6">
        <v>0</v>
      </c>
      <c r="I41" s="7">
        <f t="shared" si="5"/>
        <v>5</v>
      </c>
      <c r="J41" s="6">
        <v>0</v>
      </c>
      <c r="K41" s="7">
        <f t="shared" si="6"/>
        <v>5</v>
      </c>
      <c r="L41" s="6">
        <v>0</v>
      </c>
      <c r="M41" s="7">
        <f t="shared" si="7"/>
        <v>5</v>
      </c>
      <c r="N41" s="6">
        <v>5</v>
      </c>
      <c r="O41" s="7">
        <f t="shared" si="8"/>
        <v>0</v>
      </c>
      <c r="P41" s="6">
        <v>0</v>
      </c>
      <c r="Q41" s="7">
        <f t="shared" si="9"/>
        <v>0</v>
      </c>
    </row>
    <row r="42" spans="1:17" ht="25.5" customHeight="1">
      <c r="A42" s="58"/>
      <c r="B42" s="59"/>
      <c r="C42" s="3" t="s">
        <v>112</v>
      </c>
      <c r="D42" s="2" t="s">
        <v>113</v>
      </c>
      <c r="E42" s="5">
        <v>5</v>
      </c>
      <c r="F42" s="5">
        <v>4</v>
      </c>
      <c r="G42" s="60"/>
      <c r="H42" s="6">
        <v>0</v>
      </c>
      <c r="I42" s="7">
        <f t="shared" si="5"/>
        <v>5</v>
      </c>
      <c r="J42" s="6">
        <v>0</v>
      </c>
      <c r="K42" s="7">
        <f t="shared" si="6"/>
        <v>5</v>
      </c>
      <c r="L42" s="6">
        <v>0</v>
      </c>
      <c r="M42" s="7">
        <f t="shared" si="7"/>
        <v>5</v>
      </c>
      <c r="N42" s="6">
        <v>5</v>
      </c>
      <c r="O42" s="7">
        <f t="shared" si="8"/>
        <v>0</v>
      </c>
      <c r="P42" s="6">
        <v>0</v>
      </c>
      <c r="Q42" s="7">
        <f t="shared" si="9"/>
        <v>0</v>
      </c>
    </row>
    <row r="43" spans="1:17" ht="25.5" customHeight="1">
      <c r="A43" s="58"/>
      <c r="B43" s="59"/>
      <c r="C43" s="3" t="s">
        <v>114</v>
      </c>
      <c r="D43" s="2" t="s">
        <v>115</v>
      </c>
      <c r="E43" s="5">
        <v>7</v>
      </c>
      <c r="F43" s="5">
        <v>4</v>
      </c>
      <c r="G43" s="60"/>
      <c r="H43" s="6">
        <v>0</v>
      </c>
      <c r="I43" s="7">
        <f t="shared" si="5"/>
        <v>7</v>
      </c>
      <c r="J43" s="6">
        <v>0</v>
      </c>
      <c r="K43" s="7">
        <f t="shared" si="6"/>
        <v>7</v>
      </c>
      <c r="L43" s="6">
        <v>0</v>
      </c>
      <c r="M43" s="7">
        <f t="shared" si="7"/>
        <v>7</v>
      </c>
      <c r="N43" s="6">
        <v>7</v>
      </c>
      <c r="O43" s="7">
        <f t="shared" si="8"/>
        <v>0</v>
      </c>
      <c r="P43" s="6">
        <v>0</v>
      </c>
      <c r="Q43" s="7">
        <f t="shared" si="9"/>
        <v>0</v>
      </c>
    </row>
    <row r="44" spans="1:17" ht="25.5" customHeight="1">
      <c r="A44" s="58"/>
      <c r="B44" s="59"/>
      <c r="C44" s="3" t="s">
        <v>116</v>
      </c>
      <c r="D44" s="2" t="s">
        <v>117</v>
      </c>
      <c r="E44" s="5">
        <v>8</v>
      </c>
      <c r="F44" s="5">
        <v>4</v>
      </c>
      <c r="G44" s="60"/>
      <c r="H44" s="6">
        <v>0</v>
      </c>
      <c r="I44" s="7">
        <f t="shared" si="5"/>
        <v>8</v>
      </c>
      <c r="J44" s="6">
        <v>0</v>
      </c>
      <c r="K44" s="7">
        <f t="shared" si="6"/>
        <v>8</v>
      </c>
      <c r="L44" s="6">
        <v>0</v>
      </c>
      <c r="M44" s="7">
        <f t="shared" si="7"/>
        <v>8</v>
      </c>
      <c r="N44" s="6">
        <v>8</v>
      </c>
      <c r="O44" s="7">
        <f t="shared" si="8"/>
        <v>0</v>
      </c>
      <c r="P44" s="6">
        <v>0</v>
      </c>
      <c r="Q44" s="7">
        <f t="shared" si="9"/>
        <v>0</v>
      </c>
    </row>
    <row r="45" spans="1:17" ht="25.5" customHeight="1">
      <c r="A45" s="58"/>
      <c r="B45" s="59" t="s">
        <v>118</v>
      </c>
      <c r="C45" s="3" t="s">
        <v>119</v>
      </c>
      <c r="D45" s="2" t="s">
        <v>120</v>
      </c>
      <c r="E45" s="5">
        <v>6</v>
      </c>
      <c r="F45" s="5">
        <v>4</v>
      </c>
      <c r="G45" s="60"/>
      <c r="H45" s="6">
        <v>0</v>
      </c>
      <c r="I45" s="7">
        <f t="shared" si="5"/>
        <v>6</v>
      </c>
      <c r="J45" s="6">
        <v>0</v>
      </c>
      <c r="K45" s="7">
        <f t="shared" si="6"/>
        <v>6</v>
      </c>
      <c r="L45" s="6">
        <v>0</v>
      </c>
      <c r="M45" s="7">
        <f t="shared" si="7"/>
        <v>6</v>
      </c>
      <c r="N45" s="6">
        <v>6</v>
      </c>
      <c r="O45" s="7">
        <f t="shared" si="8"/>
        <v>0</v>
      </c>
      <c r="P45" s="6">
        <v>0</v>
      </c>
      <c r="Q45" s="7">
        <f t="shared" si="9"/>
        <v>0</v>
      </c>
    </row>
    <row r="46" spans="1:17" ht="25.5" customHeight="1">
      <c r="A46" s="58"/>
      <c r="B46" s="59"/>
      <c r="C46" s="3" t="s">
        <v>121</v>
      </c>
      <c r="D46" s="2" t="s">
        <v>122</v>
      </c>
      <c r="E46" s="5">
        <v>6</v>
      </c>
      <c r="F46" s="5">
        <v>4</v>
      </c>
      <c r="G46" s="60"/>
      <c r="H46" s="6">
        <v>0</v>
      </c>
      <c r="I46" s="7">
        <f t="shared" si="5"/>
        <v>6</v>
      </c>
      <c r="J46" s="6">
        <v>0</v>
      </c>
      <c r="K46" s="7">
        <f t="shared" si="6"/>
        <v>6</v>
      </c>
      <c r="L46" s="6">
        <v>0</v>
      </c>
      <c r="M46" s="7">
        <f t="shared" si="7"/>
        <v>6</v>
      </c>
      <c r="N46" s="6">
        <v>6</v>
      </c>
      <c r="O46" s="7">
        <f t="shared" si="8"/>
        <v>0</v>
      </c>
      <c r="P46" s="6">
        <v>0</v>
      </c>
      <c r="Q46" s="7">
        <f t="shared" si="9"/>
        <v>0</v>
      </c>
    </row>
    <row r="47" spans="1:17" ht="25.5" customHeight="1">
      <c r="A47" s="58"/>
      <c r="B47" s="59"/>
      <c r="C47" s="3" t="s">
        <v>123</v>
      </c>
      <c r="D47" s="2" t="s">
        <v>124</v>
      </c>
      <c r="E47" s="5">
        <v>4</v>
      </c>
      <c r="F47" s="5">
        <v>4</v>
      </c>
      <c r="G47" s="60"/>
      <c r="H47" s="6">
        <v>0</v>
      </c>
      <c r="I47" s="7">
        <f t="shared" si="5"/>
        <v>4</v>
      </c>
      <c r="J47" s="6">
        <v>0</v>
      </c>
      <c r="K47" s="7">
        <f t="shared" si="6"/>
        <v>4</v>
      </c>
      <c r="L47" s="6">
        <v>0</v>
      </c>
      <c r="M47" s="7">
        <f t="shared" si="7"/>
        <v>4</v>
      </c>
      <c r="N47" s="6">
        <v>4</v>
      </c>
      <c r="O47" s="7">
        <f t="shared" si="8"/>
        <v>0</v>
      </c>
      <c r="P47" s="6">
        <v>0</v>
      </c>
      <c r="Q47" s="7">
        <f t="shared" si="9"/>
        <v>0</v>
      </c>
    </row>
    <row r="48" spans="1:17" ht="25.5" customHeight="1">
      <c r="A48" s="58"/>
      <c r="B48" s="59"/>
      <c r="C48" s="3" t="s">
        <v>125</v>
      </c>
      <c r="D48" s="2" t="s">
        <v>126</v>
      </c>
      <c r="E48" s="5">
        <v>4</v>
      </c>
      <c r="F48" s="5">
        <v>4</v>
      </c>
      <c r="G48" s="60"/>
      <c r="H48" s="6">
        <v>0</v>
      </c>
      <c r="I48" s="7">
        <f t="shared" si="5"/>
        <v>4</v>
      </c>
      <c r="J48" s="6">
        <v>0</v>
      </c>
      <c r="K48" s="7">
        <f t="shared" si="6"/>
        <v>4</v>
      </c>
      <c r="L48" s="6">
        <v>0</v>
      </c>
      <c r="M48" s="7">
        <f t="shared" si="7"/>
        <v>4</v>
      </c>
      <c r="N48" s="6">
        <v>4</v>
      </c>
      <c r="O48" s="7">
        <f t="shared" si="8"/>
        <v>0</v>
      </c>
      <c r="P48" s="6">
        <v>0</v>
      </c>
      <c r="Q48" s="7">
        <f t="shared" si="9"/>
        <v>0</v>
      </c>
    </row>
    <row r="49" spans="1:17" ht="25.5" customHeight="1">
      <c r="A49" s="58" t="s">
        <v>127</v>
      </c>
      <c r="B49" s="59" t="s">
        <v>128</v>
      </c>
      <c r="C49" s="3" t="s">
        <v>129</v>
      </c>
      <c r="D49" s="2" t="s">
        <v>130</v>
      </c>
      <c r="E49" s="5">
        <v>5</v>
      </c>
      <c r="F49" s="5">
        <v>4</v>
      </c>
      <c r="G49" s="60"/>
      <c r="H49" s="6">
        <v>0</v>
      </c>
      <c r="I49" s="7">
        <f t="shared" si="5"/>
        <v>5</v>
      </c>
      <c r="J49" s="6">
        <v>0</v>
      </c>
      <c r="K49" s="7">
        <f t="shared" si="6"/>
        <v>5</v>
      </c>
      <c r="L49" s="6">
        <v>0</v>
      </c>
      <c r="M49" s="7">
        <f t="shared" si="7"/>
        <v>5</v>
      </c>
      <c r="N49" s="6">
        <v>5</v>
      </c>
      <c r="O49" s="7">
        <f t="shared" si="8"/>
        <v>0</v>
      </c>
      <c r="P49" s="6">
        <v>0</v>
      </c>
      <c r="Q49" s="7">
        <f t="shared" si="9"/>
        <v>0</v>
      </c>
    </row>
    <row r="50" spans="1:17" ht="25.5" customHeight="1">
      <c r="A50" s="58"/>
      <c r="B50" s="59"/>
      <c r="C50" s="3" t="s">
        <v>131</v>
      </c>
      <c r="D50" s="2" t="s">
        <v>132</v>
      </c>
      <c r="E50" s="5">
        <v>5</v>
      </c>
      <c r="F50" s="5">
        <v>4</v>
      </c>
      <c r="G50" s="60"/>
      <c r="H50" s="6">
        <v>0</v>
      </c>
      <c r="I50" s="7">
        <f t="shared" si="5"/>
        <v>5</v>
      </c>
      <c r="J50" s="6">
        <v>0</v>
      </c>
      <c r="K50" s="7">
        <f t="shared" si="6"/>
        <v>5</v>
      </c>
      <c r="L50" s="6">
        <v>0</v>
      </c>
      <c r="M50" s="7">
        <f t="shared" si="7"/>
        <v>5</v>
      </c>
      <c r="N50" s="6">
        <v>5</v>
      </c>
      <c r="O50" s="7">
        <f t="shared" si="8"/>
        <v>0</v>
      </c>
      <c r="P50" s="6">
        <v>0</v>
      </c>
      <c r="Q50" s="7">
        <f t="shared" si="9"/>
        <v>0</v>
      </c>
    </row>
    <row r="51" spans="1:17" ht="25.5" customHeight="1">
      <c r="A51" s="58"/>
      <c r="B51" s="59"/>
      <c r="C51" s="3" t="s">
        <v>133</v>
      </c>
      <c r="D51" s="2" t="s">
        <v>134</v>
      </c>
      <c r="E51" s="5">
        <v>6</v>
      </c>
      <c r="F51" s="5">
        <v>5</v>
      </c>
      <c r="G51" s="60">
        <f>SUMIF($F$2:$F$62,F51,$E$2:$E$62)</f>
        <v>70</v>
      </c>
      <c r="H51" s="6">
        <v>0</v>
      </c>
      <c r="I51" s="7">
        <f t="shared" si="5"/>
        <v>6</v>
      </c>
      <c r="J51" s="6">
        <v>0</v>
      </c>
      <c r="K51" s="7">
        <f t="shared" si="6"/>
        <v>6</v>
      </c>
      <c r="L51" s="6">
        <v>0</v>
      </c>
      <c r="M51" s="7">
        <f t="shared" si="7"/>
        <v>6</v>
      </c>
      <c r="N51" s="6">
        <v>0</v>
      </c>
      <c r="O51" s="7">
        <f t="shared" si="8"/>
        <v>6</v>
      </c>
      <c r="P51" s="6">
        <v>6</v>
      </c>
      <c r="Q51" s="7">
        <f t="shared" si="9"/>
        <v>0</v>
      </c>
    </row>
    <row r="52" spans="1:17" ht="25.5" customHeight="1">
      <c r="A52" s="58"/>
      <c r="B52" s="59"/>
      <c r="C52" s="3" t="s">
        <v>135</v>
      </c>
      <c r="D52" s="2" t="s">
        <v>136</v>
      </c>
      <c r="E52" s="5">
        <v>4</v>
      </c>
      <c r="F52" s="5">
        <v>5</v>
      </c>
      <c r="G52" s="60"/>
      <c r="H52" s="6">
        <v>0</v>
      </c>
      <c r="I52" s="7">
        <f t="shared" si="5"/>
        <v>4</v>
      </c>
      <c r="J52" s="6">
        <v>0</v>
      </c>
      <c r="K52" s="7">
        <f t="shared" si="6"/>
        <v>4</v>
      </c>
      <c r="L52" s="6">
        <v>0</v>
      </c>
      <c r="M52" s="7">
        <f t="shared" si="7"/>
        <v>4</v>
      </c>
      <c r="N52" s="6">
        <v>0</v>
      </c>
      <c r="O52" s="7">
        <f t="shared" si="8"/>
        <v>4</v>
      </c>
      <c r="P52" s="6">
        <v>4</v>
      </c>
      <c r="Q52" s="7">
        <f t="shared" si="9"/>
        <v>0</v>
      </c>
    </row>
    <row r="53" spans="1:17" ht="25.5" customHeight="1">
      <c r="A53" s="58"/>
      <c r="B53" s="59"/>
      <c r="C53" s="3" t="s">
        <v>137</v>
      </c>
      <c r="D53" s="2" t="s">
        <v>138</v>
      </c>
      <c r="E53" s="5">
        <v>5</v>
      </c>
      <c r="F53" s="5">
        <v>5</v>
      </c>
      <c r="G53" s="60"/>
      <c r="H53" s="6">
        <v>0</v>
      </c>
      <c r="I53" s="7">
        <f t="shared" si="5"/>
        <v>5</v>
      </c>
      <c r="J53" s="6">
        <v>0</v>
      </c>
      <c r="K53" s="7">
        <f t="shared" si="6"/>
        <v>5</v>
      </c>
      <c r="L53" s="6">
        <v>0</v>
      </c>
      <c r="M53" s="7">
        <f t="shared" si="7"/>
        <v>5</v>
      </c>
      <c r="N53" s="6">
        <v>0</v>
      </c>
      <c r="O53" s="7">
        <f t="shared" si="8"/>
        <v>5</v>
      </c>
      <c r="P53" s="6">
        <v>5</v>
      </c>
      <c r="Q53" s="7">
        <f t="shared" si="9"/>
        <v>0</v>
      </c>
    </row>
    <row r="54" spans="1:17" ht="25.5" customHeight="1">
      <c r="A54" s="58"/>
      <c r="B54" s="59" t="s">
        <v>139</v>
      </c>
      <c r="C54" s="3" t="s">
        <v>140</v>
      </c>
      <c r="D54" s="2" t="s">
        <v>141</v>
      </c>
      <c r="E54" s="5">
        <v>6</v>
      </c>
      <c r="F54" s="5">
        <v>5</v>
      </c>
      <c r="G54" s="60"/>
      <c r="H54" s="6">
        <v>0</v>
      </c>
      <c r="I54" s="7">
        <f t="shared" si="5"/>
        <v>6</v>
      </c>
      <c r="J54" s="6">
        <v>0</v>
      </c>
      <c r="K54" s="7">
        <f t="shared" si="6"/>
        <v>6</v>
      </c>
      <c r="L54" s="6">
        <v>0</v>
      </c>
      <c r="M54" s="7">
        <f t="shared" si="7"/>
        <v>6</v>
      </c>
      <c r="N54" s="6">
        <v>0</v>
      </c>
      <c r="O54" s="7">
        <f t="shared" si="8"/>
        <v>6</v>
      </c>
      <c r="P54" s="6">
        <v>6</v>
      </c>
      <c r="Q54" s="7">
        <f t="shared" si="9"/>
        <v>0</v>
      </c>
    </row>
    <row r="55" spans="1:17" ht="25.5" customHeight="1">
      <c r="A55" s="58"/>
      <c r="B55" s="59"/>
      <c r="C55" s="3" t="s">
        <v>142</v>
      </c>
      <c r="D55" s="2" t="s">
        <v>143</v>
      </c>
      <c r="E55" s="5">
        <v>5</v>
      </c>
      <c r="F55" s="5">
        <v>5</v>
      </c>
      <c r="G55" s="60"/>
      <c r="H55" s="6">
        <v>0</v>
      </c>
      <c r="I55" s="7">
        <f t="shared" si="5"/>
        <v>5</v>
      </c>
      <c r="J55" s="6">
        <v>0</v>
      </c>
      <c r="K55" s="7">
        <f t="shared" si="6"/>
        <v>5</v>
      </c>
      <c r="L55" s="6">
        <v>0</v>
      </c>
      <c r="M55" s="7">
        <f t="shared" si="7"/>
        <v>5</v>
      </c>
      <c r="N55" s="6">
        <v>0</v>
      </c>
      <c r="O55" s="7">
        <f t="shared" si="8"/>
        <v>5</v>
      </c>
      <c r="P55" s="6">
        <v>5</v>
      </c>
      <c r="Q55" s="7">
        <f t="shared" si="9"/>
        <v>0</v>
      </c>
    </row>
    <row r="56" spans="1:17" ht="25.5" customHeight="1">
      <c r="A56" s="58"/>
      <c r="B56" s="59"/>
      <c r="C56" s="3" t="s">
        <v>144</v>
      </c>
      <c r="D56" s="2" t="s">
        <v>145</v>
      </c>
      <c r="E56" s="5">
        <v>7</v>
      </c>
      <c r="F56" s="5">
        <v>5</v>
      </c>
      <c r="G56" s="60"/>
      <c r="H56" s="6">
        <v>0</v>
      </c>
      <c r="I56" s="7">
        <f t="shared" si="5"/>
        <v>7</v>
      </c>
      <c r="J56" s="6">
        <v>0</v>
      </c>
      <c r="K56" s="7">
        <f t="shared" si="6"/>
        <v>7</v>
      </c>
      <c r="L56" s="6">
        <v>0</v>
      </c>
      <c r="M56" s="7">
        <f t="shared" si="7"/>
        <v>7</v>
      </c>
      <c r="N56" s="6">
        <v>0</v>
      </c>
      <c r="O56" s="7">
        <f t="shared" si="8"/>
        <v>7</v>
      </c>
      <c r="P56" s="6">
        <v>7</v>
      </c>
      <c r="Q56" s="7">
        <f t="shared" si="9"/>
        <v>0</v>
      </c>
    </row>
    <row r="57" spans="1:17" ht="25.5" customHeight="1">
      <c r="A57" s="58"/>
      <c r="B57" s="59"/>
      <c r="C57" s="3" t="s">
        <v>146</v>
      </c>
      <c r="D57" s="2" t="s">
        <v>147</v>
      </c>
      <c r="E57" s="5">
        <v>7</v>
      </c>
      <c r="F57" s="5">
        <v>5</v>
      </c>
      <c r="G57" s="60"/>
      <c r="H57" s="6">
        <v>0</v>
      </c>
      <c r="I57" s="7">
        <f t="shared" si="5"/>
        <v>7</v>
      </c>
      <c r="J57" s="6">
        <v>0</v>
      </c>
      <c r="K57" s="7">
        <f t="shared" si="6"/>
        <v>7</v>
      </c>
      <c r="L57" s="6">
        <v>0</v>
      </c>
      <c r="M57" s="7">
        <f t="shared" si="7"/>
        <v>7</v>
      </c>
      <c r="N57" s="6">
        <v>0</v>
      </c>
      <c r="O57" s="7">
        <f t="shared" si="8"/>
        <v>7</v>
      </c>
      <c r="P57" s="6">
        <v>7</v>
      </c>
      <c r="Q57" s="7">
        <f t="shared" si="9"/>
        <v>0</v>
      </c>
    </row>
    <row r="58" spans="1:17" ht="25.5" customHeight="1">
      <c r="A58" s="58"/>
      <c r="B58" s="59" t="s">
        <v>148</v>
      </c>
      <c r="C58" s="3" t="s">
        <v>149</v>
      </c>
      <c r="D58" s="2" t="s">
        <v>150</v>
      </c>
      <c r="E58" s="5">
        <v>7</v>
      </c>
      <c r="F58" s="5">
        <v>5</v>
      </c>
      <c r="G58" s="60"/>
      <c r="H58" s="6">
        <v>0</v>
      </c>
      <c r="I58" s="7">
        <f t="shared" si="5"/>
        <v>7</v>
      </c>
      <c r="J58" s="6">
        <v>0</v>
      </c>
      <c r="K58" s="7">
        <f t="shared" si="6"/>
        <v>7</v>
      </c>
      <c r="L58" s="6">
        <v>0</v>
      </c>
      <c r="M58" s="7">
        <f t="shared" si="7"/>
        <v>7</v>
      </c>
      <c r="N58" s="6">
        <v>0</v>
      </c>
      <c r="O58" s="7">
        <f t="shared" si="8"/>
        <v>7</v>
      </c>
      <c r="P58" s="6">
        <v>7</v>
      </c>
      <c r="Q58" s="7">
        <f t="shared" si="9"/>
        <v>0</v>
      </c>
    </row>
    <row r="59" spans="1:17" ht="25.5" customHeight="1">
      <c r="A59" s="58"/>
      <c r="B59" s="59"/>
      <c r="C59" s="3" t="s">
        <v>151</v>
      </c>
      <c r="D59" s="2" t="s">
        <v>152</v>
      </c>
      <c r="E59" s="5">
        <v>7</v>
      </c>
      <c r="F59" s="5">
        <v>5</v>
      </c>
      <c r="G59" s="60"/>
      <c r="H59" s="6">
        <v>0</v>
      </c>
      <c r="I59" s="7">
        <f t="shared" si="5"/>
        <v>7</v>
      </c>
      <c r="J59" s="6">
        <v>0</v>
      </c>
      <c r="K59" s="7">
        <f t="shared" si="6"/>
        <v>7</v>
      </c>
      <c r="L59" s="6">
        <v>0</v>
      </c>
      <c r="M59" s="7">
        <f t="shared" si="7"/>
        <v>7</v>
      </c>
      <c r="N59" s="6">
        <v>0</v>
      </c>
      <c r="O59" s="7">
        <f t="shared" si="8"/>
        <v>7</v>
      </c>
      <c r="P59" s="6">
        <v>7</v>
      </c>
      <c r="Q59" s="7">
        <f t="shared" si="9"/>
        <v>0</v>
      </c>
    </row>
    <row r="60" spans="1:17" ht="25.5" customHeight="1">
      <c r="A60" s="58"/>
      <c r="B60" s="59"/>
      <c r="C60" s="3" t="s">
        <v>153</v>
      </c>
      <c r="D60" s="2" t="s">
        <v>154</v>
      </c>
      <c r="E60" s="5">
        <v>5</v>
      </c>
      <c r="F60" s="5">
        <v>5</v>
      </c>
      <c r="G60" s="60"/>
      <c r="H60" s="6">
        <v>0</v>
      </c>
      <c r="I60" s="7">
        <f t="shared" si="5"/>
        <v>5</v>
      </c>
      <c r="J60" s="6">
        <v>0</v>
      </c>
      <c r="K60" s="7">
        <f t="shared" si="6"/>
        <v>5</v>
      </c>
      <c r="L60" s="6">
        <v>0</v>
      </c>
      <c r="M60" s="7">
        <f t="shared" si="7"/>
        <v>5</v>
      </c>
      <c r="N60" s="6">
        <v>0</v>
      </c>
      <c r="O60" s="7">
        <f t="shared" si="8"/>
        <v>5</v>
      </c>
      <c r="P60" s="6">
        <v>5</v>
      </c>
      <c r="Q60" s="7">
        <f t="shared" si="9"/>
        <v>0</v>
      </c>
    </row>
    <row r="61" spans="1:17" ht="25.5" customHeight="1">
      <c r="A61" s="58"/>
      <c r="B61" s="59"/>
      <c r="C61" s="3" t="s">
        <v>155</v>
      </c>
      <c r="D61" s="2" t="s">
        <v>156</v>
      </c>
      <c r="E61" s="5">
        <v>5</v>
      </c>
      <c r="F61" s="5">
        <v>5</v>
      </c>
      <c r="G61" s="60"/>
      <c r="H61" s="6">
        <v>0</v>
      </c>
      <c r="I61" s="7">
        <f t="shared" si="5"/>
        <v>5</v>
      </c>
      <c r="J61" s="6">
        <v>0</v>
      </c>
      <c r="K61" s="7">
        <f t="shared" si="6"/>
        <v>5</v>
      </c>
      <c r="L61" s="6">
        <v>0</v>
      </c>
      <c r="M61" s="7">
        <f t="shared" si="7"/>
        <v>5</v>
      </c>
      <c r="N61" s="6">
        <v>0</v>
      </c>
      <c r="O61" s="7">
        <f t="shared" si="8"/>
        <v>5</v>
      </c>
      <c r="P61" s="6">
        <v>5</v>
      </c>
      <c r="Q61" s="7">
        <f t="shared" si="9"/>
        <v>0</v>
      </c>
    </row>
    <row r="62" spans="1:17" ht="25.5" customHeight="1">
      <c r="A62" s="58"/>
      <c r="B62" s="59"/>
      <c r="C62" s="3" t="s">
        <v>157</v>
      </c>
      <c r="D62" s="2" t="s">
        <v>158</v>
      </c>
      <c r="E62" s="5">
        <v>6</v>
      </c>
      <c r="F62" s="5">
        <v>5</v>
      </c>
      <c r="G62" s="60"/>
      <c r="H62" s="6">
        <v>0</v>
      </c>
      <c r="I62" s="7">
        <f t="shared" si="5"/>
        <v>6</v>
      </c>
      <c r="J62" s="6">
        <v>0</v>
      </c>
      <c r="K62" s="7">
        <f t="shared" si="6"/>
        <v>6</v>
      </c>
      <c r="L62" s="6">
        <v>0</v>
      </c>
      <c r="M62" s="7">
        <f t="shared" si="7"/>
        <v>6</v>
      </c>
      <c r="N62" s="6">
        <v>0</v>
      </c>
      <c r="O62" s="7">
        <f t="shared" si="8"/>
        <v>6</v>
      </c>
      <c r="P62" s="6">
        <v>6</v>
      </c>
      <c r="Q62" s="7">
        <f t="shared" si="9"/>
        <v>0</v>
      </c>
    </row>
    <row r="63" spans="1:17" ht="21" customHeight="1">
      <c r="A63" s="61" t="s">
        <v>159</v>
      </c>
      <c r="B63" s="61" t="s">
        <v>159</v>
      </c>
      <c r="C63" s="61" t="s">
        <v>159</v>
      </c>
      <c r="D63" s="61" t="s">
        <v>159</v>
      </c>
      <c r="E63" s="8">
        <f>SUM(E2:E62)</f>
        <v>350</v>
      </c>
      <c r="F63" s="8"/>
      <c r="G63" s="8">
        <f>SUM(E2:E62)</f>
        <v>350</v>
      </c>
      <c r="H63" s="8">
        <f t="shared" ref="H63:Q63" si="10">SUM(H2:H62)</f>
        <v>62</v>
      </c>
      <c r="I63" s="8">
        <f t="shared" si="10"/>
        <v>288</v>
      </c>
      <c r="J63" s="8">
        <f t="shared" si="10"/>
        <v>68</v>
      </c>
      <c r="K63" s="8">
        <f t="shared" si="10"/>
        <v>220</v>
      </c>
      <c r="L63" s="8">
        <f t="shared" si="10"/>
        <v>80</v>
      </c>
      <c r="M63" s="8">
        <f t="shared" si="10"/>
        <v>140</v>
      </c>
      <c r="N63" s="8">
        <f t="shared" si="10"/>
        <v>70</v>
      </c>
      <c r="O63" s="8">
        <f t="shared" si="10"/>
        <v>70</v>
      </c>
      <c r="P63" s="8">
        <f t="shared" si="10"/>
        <v>70</v>
      </c>
      <c r="Q63" s="8">
        <f t="shared" si="10"/>
        <v>0</v>
      </c>
    </row>
  </sheetData>
  <mergeCells count="26">
    <mergeCell ref="A63:D63"/>
    <mergeCell ref="G2:G14"/>
    <mergeCell ref="G15:G25"/>
    <mergeCell ref="G26:G37"/>
    <mergeCell ref="G38:G50"/>
    <mergeCell ref="G51:G62"/>
    <mergeCell ref="B41:B44"/>
    <mergeCell ref="B45:B48"/>
    <mergeCell ref="B49:B53"/>
    <mergeCell ref="B54:B57"/>
    <mergeCell ref="B58:B62"/>
    <mergeCell ref="B21:B24"/>
    <mergeCell ref="B25:B28"/>
    <mergeCell ref="B29:B31"/>
    <mergeCell ref="B32:B36"/>
    <mergeCell ref="B37:B40"/>
    <mergeCell ref="B2:B5"/>
    <mergeCell ref="B6:B9"/>
    <mergeCell ref="B10:B13"/>
    <mergeCell ref="B14:B16"/>
    <mergeCell ref="B17:B20"/>
    <mergeCell ref="A2:A13"/>
    <mergeCell ref="A14:A24"/>
    <mergeCell ref="A25:A36"/>
    <mergeCell ref="A37:A48"/>
    <mergeCell ref="A49:A62"/>
  </mergeCells>
  <dataValidations count="3">
    <dataValidation type="whole" sqref="E2:E62" xr:uid="{00000000-0002-0000-0000-000000000000}">
      <formula1>1</formula1>
      <formula2>20</formula2>
    </dataValidation>
    <dataValidation type="whole" sqref="F2:F62" xr:uid="{00000000-0002-0000-0000-000001000000}">
      <formula1>1</formula1>
      <formula2>5</formula2>
    </dataValidation>
    <dataValidation type="whole" sqref="H2:H62 P2:P62 N2:N62 L2:L62 J2:J62" xr:uid="{00000000-0002-0000-0000-000002000000}">
      <formula1>0</formula1>
      <formula2>20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39"/>
  <sheetViews>
    <sheetView showGridLines="0" topLeftCell="A7" workbookViewId="0"/>
  </sheetViews>
  <sheetFormatPr defaultRowHeight="14.25"/>
  <cols>
    <col min="1" max="1" width="2" customWidth="1"/>
    <col min="2" max="2" width="20" customWidth="1"/>
    <col min="3" max="4" width="7.75" customWidth="1"/>
    <col min="5" max="5" width="8.625" customWidth="1"/>
    <col min="6" max="6" width="8" customWidth="1"/>
    <col min="7" max="7" width="8.625" customWidth="1"/>
    <col min="8" max="8" width="2" customWidth="1"/>
    <col min="9" max="10" width="7.75" customWidth="1"/>
    <col min="11" max="11" width="8.625" customWidth="1"/>
    <col min="12" max="12" width="8" customWidth="1"/>
    <col min="13" max="13" width="8.625" customWidth="1"/>
    <col min="14" max="14" width="2" customWidth="1"/>
    <col min="15" max="16" width="7.75" customWidth="1"/>
    <col min="17" max="17" width="8.625" customWidth="1"/>
    <col min="18" max="18" width="8" customWidth="1"/>
    <col min="19" max="19" width="8.625" customWidth="1"/>
    <col min="20" max="20" width="2" customWidth="1"/>
    <col min="21" max="22" width="7.75" customWidth="1"/>
    <col min="23" max="23" width="8.625" customWidth="1"/>
    <col min="24" max="24" width="8" customWidth="1"/>
    <col min="25" max="25" width="8.625" customWidth="1"/>
    <col min="26" max="26" width="2" customWidth="1"/>
    <col min="27" max="28" width="7.75" customWidth="1"/>
    <col min="29" max="29" width="8.625" customWidth="1"/>
    <col min="30" max="30" width="8" customWidth="1"/>
    <col min="31" max="31" width="8.625" customWidth="1"/>
  </cols>
  <sheetData>
    <row r="1" spans="2:31" ht="15.75" customHeight="1"/>
    <row r="2" spans="2:31" ht="18.75" customHeight="1">
      <c r="B2" s="62" t="s">
        <v>160</v>
      </c>
      <c r="C2" s="62" t="s">
        <v>160</v>
      </c>
      <c r="D2" s="62" t="s">
        <v>160</v>
      </c>
      <c r="E2" s="62" t="s">
        <v>160</v>
      </c>
      <c r="F2" s="62" t="s">
        <v>160</v>
      </c>
      <c r="G2" s="62" t="s">
        <v>160</v>
      </c>
      <c r="I2" s="62" t="s">
        <v>161</v>
      </c>
      <c r="J2" s="62" t="s">
        <v>161</v>
      </c>
      <c r="K2" s="62" t="s">
        <v>161</v>
      </c>
      <c r="L2" s="62" t="s">
        <v>161</v>
      </c>
      <c r="M2" s="62" t="s">
        <v>161</v>
      </c>
      <c r="O2" s="62" t="s">
        <v>162</v>
      </c>
      <c r="P2" s="62" t="s">
        <v>162</v>
      </c>
      <c r="Q2" s="62" t="s">
        <v>162</v>
      </c>
      <c r="R2" s="62" t="s">
        <v>162</v>
      </c>
      <c r="S2" s="62" t="s">
        <v>162</v>
      </c>
      <c r="U2" s="62" t="s">
        <v>163</v>
      </c>
      <c r="V2" s="62" t="s">
        <v>163</v>
      </c>
      <c r="W2" s="62" t="s">
        <v>163</v>
      </c>
      <c r="X2" s="62" t="s">
        <v>163</v>
      </c>
      <c r="Y2" s="62" t="s">
        <v>163</v>
      </c>
      <c r="AA2" s="62" t="s">
        <v>164</v>
      </c>
      <c r="AB2" s="62" t="s">
        <v>164</v>
      </c>
      <c r="AC2" s="62" t="s">
        <v>164</v>
      </c>
      <c r="AD2" s="62" t="s">
        <v>164</v>
      </c>
      <c r="AE2" s="62" t="s">
        <v>164</v>
      </c>
    </row>
    <row r="3" spans="2:31" ht="18.75" customHeight="1">
      <c r="B3" s="1" t="s">
        <v>165</v>
      </c>
      <c r="C3" s="1" t="s">
        <v>166</v>
      </c>
      <c r="D3" s="1" t="s">
        <v>167</v>
      </c>
      <c r="E3" s="1" t="s">
        <v>168</v>
      </c>
      <c r="F3" s="1" t="s">
        <v>169</v>
      </c>
      <c r="G3" s="1" t="s">
        <v>170</v>
      </c>
      <c r="I3" s="1" t="s">
        <v>166</v>
      </c>
      <c r="J3" s="1" t="s">
        <v>167</v>
      </c>
      <c r="K3" s="1" t="s">
        <v>168</v>
      </c>
      <c r="L3" s="1" t="s">
        <v>169</v>
      </c>
      <c r="M3" s="1" t="s">
        <v>170</v>
      </c>
      <c r="O3" s="1" t="s">
        <v>166</v>
      </c>
      <c r="P3" s="1" t="s">
        <v>167</v>
      </c>
      <c r="Q3" s="1" t="s">
        <v>168</v>
      </c>
      <c r="R3" s="1" t="s">
        <v>169</v>
      </c>
      <c r="S3" s="1" t="s">
        <v>170</v>
      </c>
      <c r="U3" s="1" t="s">
        <v>166</v>
      </c>
      <c r="V3" s="1" t="s">
        <v>167</v>
      </c>
      <c r="W3" s="1" t="s">
        <v>168</v>
      </c>
      <c r="X3" s="1" t="s">
        <v>169</v>
      </c>
      <c r="Y3" s="1" t="s">
        <v>170</v>
      </c>
      <c r="AA3" s="1" t="s">
        <v>166</v>
      </c>
      <c r="AB3" s="1" t="s">
        <v>167</v>
      </c>
      <c r="AC3" s="1" t="s">
        <v>168</v>
      </c>
      <c r="AD3" s="1" t="s">
        <v>169</v>
      </c>
      <c r="AE3" s="1" t="s">
        <v>170</v>
      </c>
    </row>
    <row r="4" spans="2:31" ht="16.5" customHeight="1">
      <c r="B4" s="19" t="s">
        <v>171</v>
      </c>
      <c r="C4" s="19" t="s">
        <v>172</v>
      </c>
      <c r="D4" s="19">
        <v>2</v>
      </c>
      <c r="E4" s="33">
        <v>0.4</v>
      </c>
      <c r="F4" s="34">
        <f>D4*E4</f>
        <v>0.8</v>
      </c>
      <c r="G4" s="35">
        <f>E4*8*Config!$B$11</f>
        <v>32</v>
      </c>
      <c r="I4" s="19" t="s">
        <v>172</v>
      </c>
      <c r="J4" s="19">
        <v>2</v>
      </c>
      <c r="K4" s="33">
        <v>0.3</v>
      </c>
      <c r="L4" s="34">
        <f>J4*K4</f>
        <v>0.6</v>
      </c>
      <c r="M4" s="35">
        <f>K4*8*Config!$B$11</f>
        <v>24</v>
      </c>
      <c r="O4" s="19" t="s">
        <v>172</v>
      </c>
      <c r="P4" s="19">
        <v>2</v>
      </c>
      <c r="Q4" s="33">
        <v>0.3</v>
      </c>
      <c r="R4" s="34">
        <f>P4*Q4</f>
        <v>0.6</v>
      </c>
      <c r="S4" s="35">
        <f>Q4*8*Config!$B$11</f>
        <v>24</v>
      </c>
      <c r="U4" s="19" t="s">
        <v>172</v>
      </c>
      <c r="V4" s="19">
        <v>2</v>
      </c>
      <c r="W4" s="33">
        <v>0.3</v>
      </c>
      <c r="X4" s="34">
        <f>V4*W4</f>
        <v>0.6</v>
      </c>
      <c r="Y4" s="35">
        <f>W4*8*Config!$B$11</f>
        <v>24</v>
      </c>
      <c r="AA4" s="19" t="s">
        <v>172</v>
      </c>
      <c r="AB4" s="19">
        <v>2</v>
      </c>
      <c r="AC4" s="33">
        <v>0.3</v>
      </c>
      <c r="AD4" s="34">
        <f>AB4*AC4</f>
        <v>0.6</v>
      </c>
      <c r="AE4" s="35">
        <f>AC4*8*Config!$B$11</f>
        <v>24</v>
      </c>
    </row>
    <row r="5" spans="2:31" ht="16.5" customHeight="1">
      <c r="B5" s="25" t="s">
        <v>173</v>
      </c>
      <c r="C5" s="25" t="s">
        <v>174</v>
      </c>
      <c r="D5" s="25">
        <v>1.3</v>
      </c>
      <c r="E5" s="36">
        <v>0.5</v>
      </c>
      <c r="F5" s="37">
        <f>D5*E5</f>
        <v>0.65</v>
      </c>
      <c r="G5" s="38">
        <f>E5*8*Config!$B$11</f>
        <v>40</v>
      </c>
      <c r="I5" s="25" t="s">
        <v>174</v>
      </c>
      <c r="J5" s="25">
        <v>1.3</v>
      </c>
      <c r="K5" s="36">
        <v>0.5</v>
      </c>
      <c r="L5" s="37">
        <f>J5*K5</f>
        <v>0.65</v>
      </c>
      <c r="M5" s="38">
        <f>K5*8*Config!$B$11</f>
        <v>40</v>
      </c>
      <c r="O5" s="25" t="s">
        <v>174</v>
      </c>
      <c r="P5" s="25">
        <v>1.3</v>
      </c>
      <c r="Q5" s="36">
        <v>0.6</v>
      </c>
      <c r="R5" s="37">
        <f>P5*Q5</f>
        <v>0.78</v>
      </c>
      <c r="S5" s="38">
        <f>Q5*8*Config!$B$11</f>
        <v>48</v>
      </c>
      <c r="U5" s="25" t="s">
        <v>174</v>
      </c>
      <c r="V5" s="25">
        <v>1.3</v>
      </c>
      <c r="W5" s="36">
        <v>0.6</v>
      </c>
      <c r="X5" s="37">
        <f>V5*W5</f>
        <v>0.78</v>
      </c>
      <c r="Y5" s="38">
        <f>W5*8*Config!$B$11</f>
        <v>48</v>
      </c>
      <c r="AA5" s="25" t="s">
        <v>174</v>
      </c>
      <c r="AB5" s="25">
        <v>1.3</v>
      </c>
      <c r="AC5" s="36">
        <v>0.5</v>
      </c>
      <c r="AD5" s="37">
        <f>AB5*AC5</f>
        <v>0.65</v>
      </c>
      <c r="AE5" s="38">
        <f>AC5*8*Config!$B$11</f>
        <v>40</v>
      </c>
    </row>
    <row r="6" spans="2:31" ht="16.5" customHeight="1">
      <c r="B6" s="19" t="s">
        <v>175</v>
      </c>
      <c r="C6" s="19" t="s">
        <v>176</v>
      </c>
      <c r="D6" s="19">
        <v>1</v>
      </c>
      <c r="E6" s="33">
        <v>0.3</v>
      </c>
      <c r="F6" s="34">
        <f>D6*E6</f>
        <v>0.3</v>
      </c>
      <c r="G6" s="35">
        <f>E6*8*Config!$B$11</f>
        <v>24</v>
      </c>
      <c r="I6" s="19" t="s">
        <v>176</v>
      </c>
      <c r="J6" s="19">
        <v>1</v>
      </c>
      <c r="K6" s="33">
        <v>0.3</v>
      </c>
      <c r="L6" s="34">
        <f>J6*K6</f>
        <v>0.3</v>
      </c>
      <c r="M6" s="35">
        <f>K6*8*Config!$B$11</f>
        <v>24</v>
      </c>
      <c r="O6" s="19" t="s">
        <v>176</v>
      </c>
      <c r="P6" s="19">
        <v>1</v>
      </c>
      <c r="Q6" s="33">
        <v>0.3</v>
      </c>
      <c r="R6" s="34">
        <f>P6*Q6</f>
        <v>0.3</v>
      </c>
      <c r="S6" s="35">
        <f>Q6*8*Config!$B$11</f>
        <v>24</v>
      </c>
      <c r="U6" s="19" t="s">
        <v>176</v>
      </c>
      <c r="V6" s="19">
        <v>1</v>
      </c>
      <c r="W6" s="33">
        <v>0.3</v>
      </c>
      <c r="X6" s="34">
        <f>V6*W6</f>
        <v>0.3</v>
      </c>
      <c r="Y6" s="35">
        <f>W6*8*Config!$B$11</f>
        <v>24</v>
      </c>
      <c r="AA6" s="19" t="s">
        <v>176</v>
      </c>
      <c r="AB6" s="19">
        <v>1</v>
      </c>
      <c r="AC6" s="33">
        <v>0.3</v>
      </c>
      <c r="AD6" s="34">
        <f>AB6*AC6</f>
        <v>0.3</v>
      </c>
      <c r="AE6" s="35">
        <f>AC6*8*Config!$B$11</f>
        <v>24</v>
      </c>
    </row>
    <row r="7" spans="2:31" ht="16.5" customHeight="1">
      <c r="B7" s="25" t="s">
        <v>177</v>
      </c>
      <c r="C7" s="25" t="s">
        <v>178</v>
      </c>
      <c r="D7" s="25">
        <v>0.7</v>
      </c>
      <c r="E7" s="36">
        <v>0.4</v>
      </c>
      <c r="F7" s="37">
        <f>D7*E7</f>
        <v>0.27999999999999997</v>
      </c>
      <c r="G7" s="38">
        <f>E7*8*Config!$B$11</f>
        <v>32</v>
      </c>
      <c r="I7" s="25" t="s">
        <v>178</v>
      </c>
      <c r="J7" s="25">
        <v>0.7</v>
      </c>
      <c r="K7" s="36">
        <v>0.3</v>
      </c>
      <c r="L7" s="37">
        <f>J7*K7</f>
        <v>0.21</v>
      </c>
      <c r="M7" s="38">
        <f>K7*8*Config!$B$11</f>
        <v>24</v>
      </c>
      <c r="O7" s="25" t="s">
        <v>178</v>
      </c>
      <c r="P7" s="25">
        <v>0.7</v>
      </c>
      <c r="Q7" s="36">
        <v>0.3</v>
      </c>
      <c r="R7" s="37">
        <f>P7*Q7</f>
        <v>0.21</v>
      </c>
      <c r="S7" s="38">
        <f>Q7*8*Config!$B$11</f>
        <v>24</v>
      </c>
      <c r="U7" s="25" t="s">
        <v>178</v>
      </c>
      <c r="V7" s="25">
        <v>0.7</v>
      </c>
      <c r="W7" s="36">
        <v>0.2</v>
      </c>
      <c r="X7" s="37">
        <f>V7*W7</f>
        <v>0.13999999999999999</v>
      </c>
      <c r="Y7" s="38">
        <f>W7*8*Config!$B$11</f>
        <v>16</v>
      </c>
      <c r="AA7" s="25" t="s">
        <v>178</v>
      </c>
      <c r="AB7" s="25">
        <v>0.7</v>
      </c>
      <c r="AC7" s="36">
        <v>0.2</v>
      </c>
      <c r="AD7" s="37">
        <f>AB7*AC7</f>
        <v>0.13999999999999999</v>
      </c>
      <c r="AE7" s="38">
        <f>AC7*8*Config!$B$11</f>
        <v>16</v>
      </c>
    </row>
    <row r="8" spans="2:31" ht="16.5" customHeight="1">
      <c r="B8" s="19" t="s">
        <v>179</v>
      </c>
      <c r="C8" s="19" t="s">
        <v>176</v>
      </c>
      <c r="D8" s="19">
        <v>1</v>
      </c>
      <c r="E8" s="33">
        <v>0.2</v>
      </c>
      <c r="F8" s="34">
        <f>D8*E8</f>
        <v>0.2</v>
      </c>
      <c r="G8" s="35">
        <f>E8*8*Config!$B$11</f>
        <v>16</v>
      </c>
      <c r="I8" s="19" t="s">
        <v>176</v>
      </c>
      <c r="J8" s="19">
        <v>1</v>
      </c>
      <c r="K8" s="33">
        <v>0.2</v>
      </c>
      <c r="L8" s="34">
        <f>J8*K8</f>
        <v>0.2</v>
      </c>
      <c r="M8" s="35">
        <f>K8*8*Config!$B$11</f>
        <v>16</v>
      </c>
      <c r="O8" s="19" t="s">
        <v>176</v>
      </c>
      <c r="P8" s="19">
        <v>1</v>
      </c>
      <c r="Q8" s="33">
        <v>0.2</v>
      </c>
      <c r="R8" s="34">
        <f>P8*Q8</f>
        <v>0.2</v>
      </c>
      <c r="S8" s="35">
        <f>Q8*8*Config!$B$11</f>
        <v>16</v>
      </c>
      <c r="U8" s="19" t="s">
        <v>176</v>
      </c>
      <c r="V8" s="19">
        <v>1</v>
      </c>
      <c r="W8" s="33">
        <v>0.3</v>
      </c>
      <c r="X8" s="34">
        <f>V8*W8</f>
        <v>0.3</v>
      </c>
      <c r="Y8" s="35">
        <f>W8*8*Config!$B$11</f>
        <v>24</v>
      </c>
      <c r="AA8" s="19" t="s">
        <v>176</v>
      </c>
      <c r="AB8" s="19">
        <v>1</v>
      </c>
      <c r="AC8" s="33">
        <v>0.3</v>
      </c>
      <c r="AD8" s="34">
        <f>AB8*AC8</f>
        <v>0.3</v>
      </c>
      <c r="AE8" s="35">
        <f>AC8*8*Config!$B$11</f>
        <v>24</v>
      </c>
    </row>
    <row r="9" spans="2:31" ht="16.5" customHeight="1">
      <c r="B9" s="63" t="s">
        <v>180</v>
      </c>
      <c r="C9" s="63" t="s">
        <v>180</v>
      </c>
      <c r="D9" s="63" t="s">
        <v>180</v>
      </c>
      <c r="E9" s="41">
        <f>SUM(E4:E8)</f>
        <v>1.8</v>
      </c>
      <c r="F9" s="39">
        <f>SUM(F4:F8)</f>
        <v>2.2300000000000004</v>
      </c>
      <c r="G9" s="40">
        <f>SUM(G4:G8)</f>
        <v>144</v>
      </c>
      <c r="I9" s="63" t="s">
        <v>180</v>
      </c>
      <c r="J9" s="63" t="s">
        <v>180</v>
      </c>
      <c r="K9" s="41">
        <f>SUM(K4:K8)</f>
        <v>1.6</v>
      </c>
      <c r="L9" s="39">
        <f>SUM(L4:L8)</f>
        <v>1.96</v>
      </c>
      <c r="M9" s="40">
        <f>SUM(M4:M8)</f>
        <v>128</v>
      </c>
      <c r="O9" s="63" t="s">
        <v>180</v>
      </c>
      <c r="P9" s="63" t="s">
        <v>180</v>
      </c>
      <c r="Q9" s="41">
        <f>SUM(Q4:Q8)</f>
        <v>1.7</v>
      </c>
      <c r="R9" s="39">
        <f>SUM(R4:R8)</f>
        <v>2.09</v>
      </c>
      <c r="S9" s="40">
        <f>SUM(S4:S8)</f>
        <v>136</v>
      </c>
      <c r="U9" s="63" t="s">
        <v>180</v>
      </c>
      <c r="V9" s="63" t="s">
        <v>180</v>
      </c>
      <c r="W9" s="41">
        <f>SUM(W4:W8)</f>
        <v>1.7</v>
      </c>
      <c r="X9" s="39">
        <f>SUM(X4:X8)</f>
        <v>2.1199999999999997</v>
      </c>
      <c r="Y9" s="40">
        <f>SUM(Y4:Y8)</f>
        <v>136</v>
      </c>
      <c r="AA9" s="63" t="s">
        <v>180</v>
      </c>
      <c r="AB9" s="63" t="s">
        <v>180</v>
      </c>
      <c r="AC9" s="41">
        <f>SUM(AC4:AC8)</f>
        <v>1.6</v>
      </c>
      <c r="AD9" s="39">
        <f>SUM(AD4:AD8)</f>
        <v>1.99</v>
      </c>
      <c r="AE9" s="40">
        <f>SUM(AE4:AE8)</f>
        <v>128</v>
      </c>
    </row>
    <row r="10" spans="2:31" ht="18" customHeight="1">
      <c r="B10" s="64" t="s">
        <v>181</v>
      </c>
      <c r="C10" s="64" t="s">
        <v>181</v>
      </c>
      <c r="D10" s="64" t="s">
        <v>181</v>
      </c>
      <c r="E10" s="64" t="s">
        <v>181</v>
      </c>
      <c r="F10" s="43">
        <f>F9*2</f>
        <v>4.4600000000000009</v>
      </c>
      <c r="G10" s="42"/>
      <c r="I10" s="64" t="s">
        <v>181</v>
      </c>
      <c r="J10" s="64" t="s">
        <v>181</v>
      </c>
      <c r="K10" s="64" t="s">
        <v>181</v>
      </c>
      <c r="L10" s="43">
        <f>L9*2</f>
        <v>3.92</v>
      </c>
      <c r="M10" s="42"/>
      <c r="O10" s="64" t="s">
        <v>181</v>
      </c>
      <c r="P10" s="64" t="s">
        <v>181</v>
      </c>
      <c r="Q10" s="64" t="s">
        <v>181</v>
      </c>
      <c r="R10" s="43">
        <f>R9*2</f>
        <v>4.18</v>
      </c>
      <c r="S10" s="42"/>
      <c r="U10" s="64" t="s">
        <v>181</v>
      </c>
      <c r="V10" s="64" t="s">
        <v>181</v>
      </c>
      <c r="W10" s="64" t="s">
        <v>181</v>
      </c>
      <c r="X10" s="43">
        <f>X9*2</f>
        <v>4.2399999999999993</v>
      </c>
      <c r="Y10" s="42"/>
      <c r="AA10" s="64" t="s">
        <v>181</v>
      </c>
      <c r="AB10" s="64" t="s">
        <v>181</v>
      </c>
      <c r="AC10" s="64" t="s">
        <v>181</v>
      </c>
      <c r="AD10" s="43">
        <f>AD9*2</f>
        <v>3.98</v>
      </c>
      <c r="AE10" s="42"/>
    </row>
    <row r="11" spans="2:31" ht="18" customHeight="1">
      <c r="B11" s="64" t="s">
        <v>182</v>
      </c>
      <c r="C11" s="64" t="s">
        <v>182</v>
      </c>
      <c r="D11" s="64" t="s">
        <v>182</v>
      </c>
      <c r="E11" s="64" t="s">
        <v>182</v>
      </c>
      <c r="F11" s="43">
        <f>F10*5</f>
        <v>22.300000000000004</v>
      </c>
      <c r="G11" s="42"/>
      <c r="I11" s="64" t="s">
        <v>182</v>
      </c>
      <c r="J11" s="64" t="s">
        <v>182</v>
      </c>
      <c r="K11" s="64" t="s">
        <v>182</v>
      </c>
      <c r="L11" s="43">
        <f>L10*5</f>
        <v>19.600000000000001</v>
      </c>
      <c r="M11" s="42"/>
      <c r="O11" s="64" t="s">
        <v>182</v>
      </c>
      <c r="P11" s="64" t="s">
        <v>182</v>
      </c>
      <c r="Q11" s="64" t="s">
        <v>182</v>
      </c>
      <c r="R11" s="43">
        <f>R10*5</f>
        <v>20.9</v>
      </c>
      <c r="S11" s="42"/>
      <c r="U11" s="64" t="s">
        <v>182</v>
      </c>
      <c r="V11" s="64" t="s">
        <v>182</v>
      </c>
      <c r="W11" s="64" t="s">
        <v>182</v>
      </c>
      <c r="X11" s="43">
        <f>X10*5</f>
        <v>21.199999999999996</v>
      </c>
      <c r="Y11" s="42"/>
      <c r="AA11" s="64" t="s">
        <v>182</v>
      </c>
      <c r="AB11" s="64" t="s">
        <v>182</v>
      </c>
      <c r="AC11" s="64" t="s">
        <v>182</v>
      </c>
      <c r="AD11" s="43">
        <f>AD10*5</f>
        <v>19.899999999999999</v>
      </c>
      <c r="AE11" s="42"/>
    </row>
    <row r="12" spans="2:31" ht="18" customHeight="1">
      <c r="B12" s="65" t="s">
        <v>183</v>
      </c>
      <c r="C12" s="65" t="s">
        <v>183</v>
      </c>
      <c r="D12" s="65" t="s">
        <v>183</v>
      </c>
      <c r="E12" s="65" t="s">
        <v>183</v>
      </c>
      <c r="F12" s="47">
        <f>SUM(AD11,X11,R11,L11,F11)*Config!$B$12</f>
        <v>207800</v>
      </c>
      <c r="G12" s="46"/>
      <c r="I12" s="65" t="s">
        <v>183</v>
      </c>
      <c r="J12" s="65" t="s">
        <v>183</v>
      </c>
      <c r="K12" s="65" t="s">
        <v>183</v>
      </c>
      <c r="L12" s="47">
        <f>SUM(AD11,X11,R11,L11)*Config!$B$12</f>
        <v>163200</v>
      </c>
      <c r="M12" s="46"/>
      <c r="O12" s="65" t="s">
        <v>183</v>
      </c>
      <c r="P12" s="65" t="s">
        <v>183</v>
      </c>
      <c r="Q12" s="65" t="s">
        <v>183</v>
      </c>
      <c r="R12" s="47">
        <f>SUM(AD11,X11,R11)*Config!$B$12</f>
        <v>123999.99999999999</v>
      </c>
      <c r="S12" s="46"/>
      <c r="U12" s="65" t="s">
        <v>183</v>
      </c>
      <c r="V12" s="65" t="s">
        <v>183</v>
      </c>
      <c r="W12" s="65" t="s">
        <v>183</v>
      </c>
      <c r="X12" s="47">
        <f>SUM(AD11,X11)*Config!$B$12</f>
        <v>82199.999999999985</v>
      </c>
      <c r="Y12" s="46"/>
      <c r="AA12" s="65" t="s">
        <v>183</v>
      </c>
      <c r="AB12" s="65" t="s">
        <v>183</v>
      </c>
      <c r="AC12" s="65" t="s">
        <v>183</v>
      </c>
      <c r="AD12" s="47">
        <f>SUM(AD11)*Config!$B$12</f>
        <v>39800</v>
      </c>
      <c r="AE12" s="46"/>
    </row>
    <row r="13" spans="2:31" ht="18" customHeight="1">
      <c r="B13" s="42"/>
      <c r="C13" s="42"/>
      <c r="D13" s="42"/>
      <c r="E13" s="42"/>
      <c r="F13" s="43"/>
      <c r="G13" s="42"/>
      <c r="I13" s="42"/>
      <c r="J13" s="42"/>
      <c r="K13" s="42"/>
      <c r="L13" s="43"/>
      <c r="M13" s="42"/>
      <c r="O13" s="42"/>
      <c r="P13" s="42"/>
      <c r="Q13" s="42"/>
      <c r="R13" s="43"/>
      <c r="S13" s="42"/>
      <c r="U13" s="42"/>
      <c r="V13" s="42"/>
      <c r="W13" s="42"/>
      <c r="X13" s="43"/>
      <c r="Y13" s="42"/>
      <c r="AA13" s="42"/>
      <c r="AB13" s="42"/>
      <c r="AC13" s="42"/>
      <c r="AD13" s="43"/>
      <c r="AE13" s="42"/>
    </row>
    <row r="14" spans="2:31" ht="18" customHeight="1">
      <c r="B14" s="64" t="s">
        <v>184</v>
      </c>
      <c r="C14" s="64" t="s">
        <v>184</v>
      </c>
      <c r="D14" s="64" t="s">
        <v>184</v>
      </c>
      <c r="E14" s="64" t="s">
        <v>184</v>
      </c>
      <c r="F14" s="44">
        <f>'WBS - Updated Product Backlog'!$P$63</f>
        <v>70</v>
      </c>
      <c r="G14" s="42"/>
      <c r="I14" s="64" t="s">
        <v>184</v>
      </c>
      <c r="J14" s="64" t="s">
        <v>184</v>
      </c>
      <c r="K14" s="64" t="s">
        <v>184</v>
      </c>
      <c r="L14" s="44">
        <f>'WBS - Updated Product Backlog'!$N$63</f>
        <v>70</v>
      </c>
      <c r="M14" s="42"/>
      <c r="O14" s="64" t="s">
        <v>184</v>
      </c>
      <c r="P14" s="64" t="s">
        <v>184</v>
      </c>
      <c r="Q14" s="64" t="s">
        <v>184</v>
      </c>
      <c r="R14" s="44">
        <f>'WBS - Updated Product Backlog'!$L$63</f>
        <v>80</v>
      </c>
      <c r="S14" s="42"/>
      <c r="U14" s="64" t="s">
        <v>184</v>
      </c>
      <c r="V14" s="64" t="s">
        <v>184</v>
      </c>
      <c r="W14" s="64" t="s">
        <v>184</v>
      </c>
      <c r="X14" s="44">
        <f>'WBS - Updated Product Backlog'!$J$63</f>
        <v>68</v>
      </c>
      <c r="Y14" s="42"/>
      <c r="AA14" s="64" t="s">
        <v>184</v>
      </c>
      <c r="AB14" s="64" t="s">
        <v>184</v>
      </c>
      <c r="AC14" s="64" t="s">
        <v>184</v>
      </c>
      <c r="AD14" s="44">
        <f>'WBS - Updated Product Backlog'!$H$63</f>
        <v>62</v>
      </c>
      <c r="AE14" s="42"/>
    </row>
    <row r="15" spans="2:31" ht="18" customHeight="1">
      <c r="B15" s="64" t="s">
        <v>185</v>
      </c>
      <c r="C15" s="64" t="s">
        <v>185</v>
      </c>
      <c r="D15" s="64" t="s">
        <v>185</v>
      </c>
      <c r="E15" s="64" t="s">
        <v>185</v>
      </c>
      <c r="F15" s="44">
        <f>SUM('WBS - Updated Product Backlog'!$H$63,'WBS - Updated Product Backlog'!$J$63,'WBS - Updated Product Backlog'!$L$63,'WBS - Updated Product Backlog'!$N$63,'WBS - Updated Product Backlog'!$P$63)</f>
        <v>350</v>
      </c>
      <c r="G15" s="45">
        <f>F15/'WBS - Updated Product Backlog'!$E$63</f>
        <v>1</v>
      </c>
      <c r="I15" s="64" t="s">
        <v>185</v>
      </c>
      <c r="J15" s="64" t="s">
        <v>185</v>
      </c>
      <c r="K15" s="64" t="s">
        <v>185</v>
      </c>
      <c r="L15" s="44">
        <f>SUM('WBS - Updated Product Backlog'!$H$63,'WBS - Updated Product Backlog'!$J$63,'WBS - Updated Product Backlog'!$L$63,'WBS - Updated Product Backlog'!$N$63)</f>
        <v>280</v>
      </c>
      <c r="M15" s="45">
        <f>L15/'WBS - Updated Product Backlog'!$E$63</f>
        <v>0.8</v>
      </c>
      <c r="O15" s="64" t="s">
        <v>185</v>
      </c>
      <c r="P15" s="64" t="s">
        <v>185</v>
      </c>
      <c r="Q15" s="64" t="s">
        <v>185</v>
      </c>
      <c r="R15" s="44">
        <f>SUM('WBS - Updated Product Backlog'!$H$63,'WBS - Updated Product Backlog'!$J$63,'WBS - Updated Product Backlog'!$L$63)</f>
        <v>210</v>
      </c>
      <c r="S15" s="45">
        <f>R15/'WBS - Updated Product Backlog'!$E$63</f>
        <v>0.6</v>
      </c>
      <c r="U15" s="64" t="s">
        <v>185</v>
      </c>
      <c r="V15" s="64" t="s">
        <v>185</v>
      </c>
      <c r="W15" s="64" t="s">
        <v>185</v>
      </c>
      <c r="X15" s="44">
        <f>SUM('WBS - Updated Product Backlog'!$H$63,'WBS - Updated Product Backlog'!$J$63)</f>
        <v>130</v>
      </c>
      <c r="Y15" s="45">
        <f>X15/'WBS - Updated Product Backlog'!$E$63</f>
        <v>0.37142857142857144</v>
      </c>
      <c r="AA15" s="64" t="s">
        <v>185</v>
      </c>
      <c r="AB15" s="64" t="s">
        <v>185</v>
      </c>
      <c r="AC15" s="64" t="s">
        <v>185</v>
      </c>
      <c r="AD15" s="44">
        <f>SUM('WBS - Updated Product Backlog'!$H$63)</f>
        <v>62</v>
      </c>
      <c r="AE15" s="45">
        <f>AD15/'WBS - Updated Product Backlog'!$E$63</f>
        <v>0.17714285714285713</v>
      </c>
    </row>
    <row r="16" spans="2:31" ht="18" customHeight="1">
      <c r="B16" s="66" t="s">
        <v>186</v>
      </c>
      <c r="C16" s="66" t="s">
        <v>186</v>
      </c>
      <c r="D16" s="66" t="s">
        <v>186</v>
      </c>
      <c r="E16" s="66" t="s">
        <v>186</v>
      </c>
      <c r="F16" s="49">
        <f>F15/'WBS - Updated Product Backlog'!$E$63*$F$12-F12</f>
        <v>0</v>
      </c>
      <c r="G16" s="48"/>
      <c r="I16" s="66" t="s">
        <v>186</v>
      </c>
      <c r="J16" s="66" t="s">
        <v>186</v>
      </c>
      <c r="K16" s="66" t="s">
        <v>186</v>
      </c>
      <c r="L16" s="49">
        <f>L15/'WBS - Updated Product Backlog'!$E$63*$F$12-L12</f>
        <v>3040</v>
      </c>
      <c r="M16" s="48"/>
      <c r="O16" s="66" t="s">
        <v>186</v>
      </c>
      <c r="P16" s="66" t="s">
        <v>186</v>
      </c>
      <c r="Q16" s="66" t="s">
        <v>186</v>
      </c>
      <c r="R16" s="49">
        <f>R15/'WBS - Updated Product Backlog'!$E$63*$F$12-R12</f>
        <v>680.00000000001455</v>
      </c>
      <c r="S16" s="48"/>
      <c r="U16" s="66" t="s">
        <v>186</v>
      </c>
      <c r="V16" s="66" t="s">
        <v>186</v>
      </c>
      <c r="W16" s="66" t="s">
        <v>186</v>
      </c>
      <c r="X16" s="49">
        <f>X15/'WBS - Updated Product Backlog'!$E$63*$F$12-X12</f>
        <v>-5017.1428571428405</v>
      </c>
      <c r="Y16" s="48"/>
      <c r="AA16" s="66" t="s">
        <v>186</v>
      </c>
      <c r="AB16" s="66" t="s">
        <v>186</v>
      </c>
      <c r="AC16" s="66" t="s">
        <v>186</v>
      </c>
      <c r="AD16" s="49">
        <f>AD15/'WBS - Updated Product Backlog'!$E$63*$F$12-AD12</f>
        <v>-2989.7142857142899</v>
      </c>
      <c r="AE16" s="48"/>
    </row>
    <row r="17" spans="2:31" ht="18" customHeight="1">
      <c r="B17" s="42"/>
      <c r="C17" s="42"/>
      <c r="D17" s="42"/>
      <c r="E17" s="42"/>
      <c r="F17" s="44"/>
      <c r="G17" s="42"/>
      <c r="I17" s="42"/>
      <c r="J17" s="42"/>
      <c r="K17" s="42"/>
      <c r="L17" s="44"/>
      <c r="M17" s="42"/>
      <c r="O17" s="42"/>
      <c r="P17" s="42"/>
      <c r="Q17" s="42"/>
      <c r="R17" s="44"/>
      <c r="S17" s="42"/>
      <c r="U17" s="42"/>
      <c r="V17" s="42"/>
      <c r="W17" s="42"/>
      <c r="X17" s="44"/>
      <c r="Y17" s="42"/>
      <c r="AA17" s="42"/>
      <c r="AB17" s="42"/>
      <c r="AC17" s="42"/>
      <c r="AD17" s="44"/>
      <c r="AE17" s="42"/>
    </row>
    <row r="18" spans="2:31" ht="18" customHeight="1">
      <c r="B18" s="64" t="s">
        <v>187</v>
      </c>
      <c r="C18" s="64" t="s">
        <v>187</v>
      </c>
      <c r="D18" s="64" t="s">
        <v>187</v>
      </c>
      <c r="E18" s="64" t="s">
        <v>187</v>
      </c>
      <c r="F18" s="44">
        <f>SUMIF('WBS - Updated Product Backlog'!$F$2:$F$62,5,'WBS - Updated Product Backlog'!$E$2:$E$62)</f>
        <v>70</v>
      </c>
      <c r="G18" s="42"/>
      <c r="I18" s="64" t="s">
        <v>187</v>
      </c>
      <c r="J18" s="64" t="s">
        <v>187</v>
      </c>
      <c r="K18" s="64" t="s">
        <v>187</v>
      </c>
      <c r="L18" s="44">
        <f>SUMIF('WBS - Updated Product Backlog'!$F$2:$F$62,4,'WBS - Updated Product Backlog'!$E$2:$E$62)</f>
        <v>70</v>
      </c>
      <c r="M18" s="42"/>
      <c r="O18" s="64" t="s">
        <v>187</v>
      </c>
      <c r="P18" s="64" t="s">
        <v>187</v>
      </c>
      <c r="Q18" s="64" t="s">
        <v>187</v>
      </c>
      <c r="R18" s="44">
        <f>SUMIF('WBS - Updated Product Backlog'!$F$2:$F$62,3,'WBS - Updated Product Backlog'!$E$2:$E$62)</f>
        <v>70</v>
      </c>
      <c r="S18" s="42"/>
      <c r="U18" s="64" t="s">
        <v>187</v>
      </c>
      <c r="V18" s="64" t="s">
        <v>187</v>
      </c>
      <c r="W18" s="64" t="s">
        <v>187</v>
      </c>
      <c r="X18" s="44">
        <f>SUMIF('WBS - Updated Product Backlog'!$F$2:$F$62,2,'WBS - Updated Product Backlog'!$E$2:$E$62)</f>
        <v>70</v>
      </c>
      <c r="Y18" s="42"/>
      <c r="AA18" s="64" t="s">
        <v>187</v>
      </c>
      <c r="AB18" s="64" t="s">
        <v>187</v>
      </c>
      <c r="AC18" s="64" t="s">
        <v>187</v>
      </c>
      <c r="AD18" s="44">
        <f>SUMIF('WBS - Updated Product Backlog'!$F$2:$F$62,1,'WBS - Updated Product Backlog'!$E$2:$E$62)</f>
        <v>70</v>
      </c>
      <c r="AE18" s="42"/>
    </row>
    <row r="19" spans="2:31" ht="18" customHeight="1">
      <c r="B19" s="64" t="s">
        <v>188</v>
      </c>
      <c r="C19" s="64" t="s">
        <v>188</v>
      </c>
      <c r="D19" s="64" t="s">
        <v>188</v>
      </c>
      <c r="E19" s="64" t="s">
        <v>188</v>
      </c>
      <c r="F19" s="44">
        <f>SUM(AD18,X18,R18,L18,F18)</f>
        <v>350</v>
      </c>
      <c r="G19" s="42"/>
      <c r="I19" s="64" t="s">
        <v>188</v>
      </c>
      <c r="J19" s="64" t="s">
        <v>188</v>
      </c>
      <c r="K19" s="64" t="s">
        <v>188</v>
      </c>
      <c r="L19" s="44">
        <f>SUM(AD18,X18,R18,L18)</f>
        <v>280</v>
      </c>
      <c r="M19" s="42"/>
      <c r="O19" s="64" t="s">
        <v>188</v>
      </c>
      <c r="P19" s="64" t="s">
        <v>188</v>
      </c>
      <c r="Q19" s="64" t="s">
        <v>188</v>
      </c>
      <c r="R19" s="44">
        <f>SUM(AD18,X18,R18)</f>
        <v>210</v>
      </c>
      <c r="S19" s="42"/>
      <c r="U19" s="64" t="s">
        <v>188</v>
      </c>
      <c r="V19" s="64" t="s">
        <v>188</v>
      </c>
      <c r="W19" s="64" t="s">
        <v>188</v>
      </c>
      <c r="X19" s="44">
        <f>SUM(AD18,X18)</f>
        <v>140</v>
      </c>
      <c r="Y19" s="42"/>
      <c r="AA19" s="64" t="s">
        <v>188</v>
      </c>
      <c r="AB19" s="64" t="s">
        <v>188</v>
      </c>
      <c r="AC19" s="64" t="s">
        <v>188</v>
      </c>
      <c r="AD19" s="44">
        <f>SUM(AD18)</f>
        <v>70</v>
      </c>
      <c r="AE19" s="42"/>
    </row>
    <row r="20" spans="2:31" ht="18" customHeight="1">
      <c r="B20" s="64" t="s">
        <v>189</v>
      </c>
      <c r="C20" s="64" t="s">
        <v>189</v>
      </c>
      <c r="D20" s="64" t="s">
        <v>189</v>
      </c>
      <c r="E20" s="64" t="s">
        <v>189</v>
      </c>
      <c r="F20" s="44">
        <f>F15-F19</f>
        <v>0</v>
      </c>
      <c r="G20" s="42"/>
      <c r="I20" s="64" t="s">
        <v>189</v>
      </c>
      <c r="J20" s="64" t="s">
        <v>189</v>
      </c>
      <c r="K20" s="64" t="s">
        <v>189</v>
      </c>
      <c r="L20" s="44">
        <f>L15-L19</f>
        <v>0</v>
      </c>
      <c r="M20" s="42"/>
      <c r="O20" s="64" t="s">
        <v>189</v>
      </c>
      <c r="P20" s="64" t="s">
        <v>189</v>
      </c>
      <c r="Q20" s="64" t="s">
        <v>189</v>
      </c>
      <c r="R20" s="44">
        <f>R15-R19</f>
        <v>0</v>
      </c>
      <c r="S20" s="42"/>
      <c r="U20" s="64" t="s">
        <v>189</v>
      </c>
      <c r="V20" s="64" t="s">
        <v>189</v>
      </c>
      <c r="W20" s="64" t="s">
        <v>189</v>
      </c>
      <c r="X20" s="44">
        <f>X15-X19</f>
        <v>-10</v>
      </c>
      <c r="Y20" s="42"/>
      <c r="AA20" s="64" t="s">
        <v>189</v>
      </c>
      <c r="AB20" s="64" t="s">
        <v>189</v>
      </c>
      <c r="AC20" s="64" t="s">
        <v>189</v>
      </c>
      <c r="AD20" s="44">
        <f>AD15-AD19</f>
        <v>-8</v>
      </c>
      <c r="AE20" s="42"/>
    </row>
    <row r="21" spans="2:31" ht="18" customHeight="1">
      <c r="B21" s="65" t="s">
        <v>190</v>
      </c>
      <c r="C21" s="65" t="s">
        <v>190</v>
      </c>
      <c r="D21" s="65" t="s">
        <v>190</v>
      </c>
      <c r="E21" s="65" t="s">
        <v>190</v>
      </c>
      <c r="F21" s="65" t="str">
        <f>IF(F20=0,"On Schedule",IF(F20&lt;0,"Behind Schedule","Ahead of Schedule"))</f>
        <v>On Schedule</v>
      </c>
      <c r="G21" s="65"/>
      <c r="I21" s="65" t="s">
        <v>190</v>
      </c>
      <c r="J21" s="65" t="s">
        <v>190</v>
      </c>
      <c r="K21" s="65" t="s">
        <v>190</v>
      </c>
      <c r="L21" s="65" t="str">
        <f>IF(L20=0,"On Schedule",IF(L20&lt;0,"Behind Schedule","Ahead of Schedule"))</f>
        <v>On Schedule</v>
      </c>
      <c r="M21" s="65"/>
      <c r="O21" s="65" t="s">
        <v>190</v>
      </c>
      <c r="P21" s="65" t="s">
        <v>190</v>
      </c>
      <c r="Q21" s="65" t="s">
        <v>190</v>
      </c>
      <c r="R21" s="65" t="str">
        <f>IF(R20=0,"On Schedule",IF(R20&lt;0,"Behind Schedule","Ahead of Schedule"))</f>
        <v>On Schedule</v>
      </c>
      <c r="S21" s="65"/>
      <c r="U21" s="65" t="s">
        <v>190</v>
      </c>
      <c r="V21" s="65" t="s">
        <v>190</v>
      </c>
      <c r="W21" s="65" t="s">
        <v>190</v>
      </c>
      <c r="X21" s="65" t="str">
        <f>IF(X20=0,"On Schedule",IF(X20&lt;0,"Behind Schedule","Ahead of Schedule"))</f>
        <v>Behind Schedule</v>
      </c>
      <c r="Y21" s="65"/>
      <c r="AA21" s="65" t="s">
        <v>190</v>
      </c>
      <c r="AB21" s="65" t="s">
        <v>190</v>
      </c>
      <c r="AC21" s="65" t="s">
        <v>190</v>
      </c>
      <c r="AD21" s="65" t="str">
        <f>IF(AD20=0,"On Schedule",IF(AD20&lt;0,"Behind Schedule","Ahead of Schedule"))</f>
        <v>Behind Schedule</v>
      </c>
      <c r="AE21" s="65"/>
    </row>
    <row r="22" spans="2:31" ht="15.75" customHeight="1"/>
    <row r="23" spans="2:31" ht="19.5" customHeight="1">
      <c r="B23" s="67" t="s">
        <v>191</v>
      </c>
      <c r="C23" s="67" t="s">
        <v>191</v>
      </c>
      <c r="D23" s="67" t="s">
        <v>191</v>
      </c>
      <c r="E23" s="67" t="s">
        <v>191</v>
      </c>
      <c r="F23" s="67" t="s">
        <v>191</v>
      </c>
      <c r="G23" s="67" t="s">
        <v>191</v>
      </c>
      <c r="I23" s="67" t="s">
        <v>192</v>
      </c>
      <c r="J23" s="67" t="s">
        <v>192</v>
      </c>
      <c r="K23" s="67" t="s">
        <v>192</v>
      </c>
      <c r="L23" s="67" t="s">
        <v>192</v>
      </c>
      <c r="M23" s="67" t="s">
        <v>192</v>
      </c>
      <c r="O23" s="67" t="s">
        <v>193</v>
      </c>
      <c r="P23" s="67" t="s">
        <v>193</v>
      </c>
      <c r="Q23" s="67" t="s">
        <v>193</v>
      </c>
      <c r="R23" s="67" t="s">
        <v>193</v>
      </c>
      <c r="S23" s="67" t="s">
        <v>193</v>
      </c>
      <c r="U23" s="67" t="s">
        <v>194</v>
      </c>
      <c r="V23" s="67" t="s">
        <v>194</v>
      </c>
      <c r="W23" s="67" t="s">
        <v>194</v>
      </c>
      <c r="X23" s="67" t="s">
        <v>194</v>
      </c>
      <c r="Y23" s="67" t="s">
        <v>194</v>
      </c>
      <c r="AA23" s="67" t="s">
        <v>195</v>
      </c>
      <c r="AB23" s="67" t="s">
        <v>195</v>
      </c>
      <c r="AC23" s="67" t="s">
        <v>195</v>
      </c>
      <c r="AD23" s="67" t="s">
        <v>195</v>
      </c>
      <c r="AE23" s="67" t="s">
        <v>195</v>
      </c>
    </row>
    <row r="24" spans="2:31" ht="19.5" customHeight="1">
      <c r="B24" s="68" t="s">
        <v>196</v>
      </c>
      <c r="C24" s="68" t="s">
        <v>196</v>
      </c>
      <c r="D24" s="68" t="s">
        <v>196</v>
      </c>
      <c r="E24" s="68" t="s">
        <v>196</v>
      </c>
      <c r="F24" s="68" t="s">
        <v>196</v>
      </c>
      <c r="G24" s="51" t="s">
        <v>197</v>
      </c>
      <c r="I24" s="68" t="s">
        <v>196</v>
      </c>
      <c r="J24" s="68" t="s">
        <v>196</v>
      </c>
      <c r="K24" s="68" t="s">
        <v>196</v>
      </c>
      <c r="L24" s="68" t="s">
        <v>196</v>
      </c>
      <c r="M24" s="51" t="s">
        <v>197</v>
      </c>
      <c r="O24" s="68" t="s">
        <v>196</v>
      </c>
      <c r="P24" s="68" t="s">
        <v>196</v>
      </c>
      <c r="Q24" s="68" t="s">
        <v>196</v>
      </c>
      <c r="R24" s="68" t="s">
        <v>196</v>
      </c>
      <c r="S24" s="51" t="s">
        <v>197</v>
      </c>
      <c r="U24" s="68" t="s">
        <v>196</v>
      </c>
      <c r="V24" s="68" t="s">
        <v>196</v>
      </c>
      <c r="W24" s="68" t="s">
        <v>196</v>
      </c>
      <c r="X24" s="68" t="s">
        <v>196</v>
      </c>
      <c r="Y24" s="51" t="s">
        <v>197</v>
      </c>
      <c r="AA24" s="68" t="s">
        <v>196</v>
      </c>
      <c r="AB24" s="68" t="s">
        <v>196</v>
      </c>
      <c r="AC24" s="68" t="s">
        <v>196</v>
      </c>
      <c r="AD24" s="68" t="s">
        <v>196</v>
      </c>
      <c r="AE24" s="51" t="s">
        <v>197</v>
      </c>
    </row>
    <row r="25" spans="2:31" ht="30" customHeight="1">
      <c r="B25" s="69" t="str">
        <f>'WBS - Updated Product Backlog'!$C$51&amp;"  "&amp;'WBS - Updated Product Backlog'!$D$51&amp;""</f>
        <v>5.1.3  Manage service categories</v>
      </c>
      <c r="C25" s="69"/>
      <c r="D25" s="69"/>
      <c r="E25" s="69"/>
      <c r="F25" s="69"/>
      <c r="G25" s="52">
        <f>'WBS - Updated Product Backlog'!$P$51</f>
        <v>6</v>
      </c>
      <c r="I25" s="69" t="str">
        <f>'WBS - Updated Product Backlog'!$C$38&amp;"  "&amp;'WBS - Updated Product Backlog'!$D$38&amp;""</f>
        <v>4.1.2  Validate and save 1-5 star rating</v>
      </c>
      <c r="J25" s="69"/>
      <c r="K25" s="69"/>
      <c r="L25" s="69"/>
      <c r="M25" s="52">
        <f>'WBS - Updated Product Backlog'!$N$38</f>
        <v>5</v>
      </c>
      <c r="O25" s="69" t="str">
        <f>'WBS - Updated Product Backlog'!$C$15&amp;"  "&amp;'WBS - Updated Product Backlog'!$D$15&amp;" [Carryover]"</f>
        <v>2.1.2  Add manual location and area input [Carryover]</v>
      </c>
      <c r="P25" s="69"/>
      <c r="Q25" s="69"/>
      <c r="R25" s="69"/>
      <c r="S25" s="52">
        <f>'WBS - Updated Product Backlog'!$L$15</f>
        <v>5</v>
      </c>
      <c r="U25" s="69" t="str">
        <f>'WBS - Updated Product Backlog'!$C$11&amp;"  "&amp;'WBS - Updated Product Backlog'!$D$11&amp;" [Carryover]"</f>
        <v>1.3.2  Add NID and skill-evidence upload [Carryover]</v>
      </c>
      <c r="V25" s="69"/>
      <c r="W25" s="69"/>
      <c r="X25" s="69"/>
      <c r="Y25" s="52">
        <f>'WBS - Updated Product Backlog'!$J$11</f>
        <v>8</v>
      </c>
      <c r="AA25" s="69" t="str">
        <f>'WBS - Updated Product Backlog'!$C$2&amp;"  "&amp;'WBS - Updated Product Backlog'!$D$2&amp;""</f>
        <v>1.1.1  Design customer registration form</v>
      </c>
      <c r="AB25" s="69"/>
      <c r="AC25" s="69"/>
      <c r="AD25" s="69"/>
      <c r="AE25" s="52">
        <f>'WBS - Updated Product Backlog'!$H$2</f>
        <v>4</v>
      </c>
    </row>
    <row r="26" spans="2:31" ht="30" customHeight="1">
      <c r="B26" s="69" t="str">
        <f>'WBS - Updated Product Backlog'!$C$52&amp;"  "&amp;'WBS - Updated Product Backlog'!$D$52&amp;""</f>
        <v>5.1.4  Manage service coverage areas</v>
      </c>
      <c r="C26" s="69"/>
      <c r="D26" s="69"/>
      <c r="E26" s="69"/>
      <c r="F26" s="69"/>
      <c r="G26" s="52">
        <f>'WBS - Updated Product Backlog'!$P$52</f>
        <v>4</v>
      </c>
      <c r="I26" s="69" t="str">
        <f>'WBS - Updated Product Backlog'!$C$39&amp;"  "&amp;'WBS - Updated Product Backlog'!$D$39&amp;""</f>
        <v>4.1.3  Submit and display written review</v>
      </c>
      <c r="J26" s="69"/>
      <c r="K26" s="69"/>
      <c r="L26" s="69"/>
      <c r="M26" s="52">
        <f>'WBS - Updated Product Backlog'!$N$39</f>
        <v>5</v>
      </c>
      <c r="O26" s="69" t="str">
        <f>'WBS - Updated Product Backlog'!$C$25&amp;"  "&amp;'WBS - Updated Product Backlog'!$D$25&amp;" [Carryover]"</f>
        <v>3.1.1  Build normal repair-request form [Carryover]</v>
      </c>
      <c r="P26" s="69"/>
      <c r="Q26" s="69"/>
      <c r="R26" s="69"/>
      <c r="S26" s="52">
        <f>'WBS - Updated Product Backlog'!$L$25</f>
        <v>5</v>
      </c>
      <c r="U26" s="69" t="str">
        <f>'WBS - Updated Product Backlog'!$C$16&amp;"  "&amp;'WBS - Updated Product Backlog'!$D$16&amp;""</f>
        <v>2.1.3  Geocode, normalize and save the selected location</v>
      </c>
      <c r="V26" s="69"/>
      <c r="W26" s="69"/>
      <c r="X26" s="69"/>
      <c r="Y26" s="52">
        <f>'WBS - Updated Product Backlog'!$J$16</f>
        <v>8</v>
      </c>
      <c r="AA26" s="69" t="str">
        <f>'WBS - Updated Product Backlog'!$C$3&amp;"  "&amp;'WBS - Updated Product Backlog'!$D$3&amp;""</f>
        <v>1.1.2  Implement account creation and field validation</v>
      </c>
      <c r="AB26" s="69"/>
      <c r="AC26" s="69"/>
      <c r="AD26" s="69"/>
      <c r="AE26" s="52">
        <f>'WBS - Updated Product Backlog'!$H$3</f>
        <v>7</v>
      </c>
    </row>
    <row r="27" spans="2:31" ht="30" customHeight="1">
      <c r="B27" s="69" t="str">
        <f>'WBS - Updated Product Backlog'!$C$53&amp;"  "&amp;'WBS - Updated Product Backlog'!$D$53&amp;""</f>
        <v>5.1.5  Verify, suspend or remove technician accounts</v>
      </c>
      <c r="C27" s="69"/>
      <c r="D27" s="69"/>
      <c r="E27" s="69"/>
      <c r="F27" s="69"/>
      <c r="G27" s="52">
        <f>'WBS - Updated Product Backlog'!$P$53</f>
        <v>5</v>
      </c>
      <c r="I27" s="69" t="str">
        <f>'WBS - Updated Product Backlog'!$C$40&amp;"  "&amp;'WBS - Updated Product Backlog'!$D$40&amp;""</f>
        <v>4.1.4  Show customer service history</v>
      </c>
      <c r="J27" s="69"/>
      <c r="K27" s="69"/>
      <c r="L27" s="69"/>
      <c r="M27" s="52">
        <f>'WBS - Updated Product Backlog'!$N$40</f>
        <v>5</v>
      </c>
      <c r="O27" s="69" t="str">
        <f>'WBS - Updated Product Backlog'!$C$26&amp;"  "&amp;'WBS - Updated Product Backlog'!$D$26&amp;""</f>
        <v>3.1.2  Add issue-photo attachment</v>
      </c>
      <c r="P27" s="69"/>
      <c r="Q27" s="69"/>
      <c r="R27" s="69"/>
      <c r="S27" s="52">
        <f>'WBS - Updated Product Backlog'!$L$26</f>
        <v>5</v>
      </c>
      <c r="U27" s="69" t="str">
        <f>'WBS - Updated Product Backlog'!$C$17&amp;"  "&amp;'WBS - Updated Product Backlog'!$D$17&amp;""</f>
        <v>2.2.1  Query verified technicians by service category and location</v>
      </c>
      <c r="V27" s="69"/>
      <c r="W27" s="69"/>
      <c r="X27" s="69"/>
      <c r="Y27" s="52">
        <f>'WBS - Updated Product Backlog'!$J$17</f>
        <v>8</v>
      </c>
      <c r="AA27" s="69" t="str">
        <f>'WBS - Updated Product Backlog'!$C$4&amp;"  "&amp;'WBS - Updated Product Backlog'!$D$4&amp;""</f>
        <v>1.1.3  Store credentials securely with password hashing</v>
      </c>
      <c r="AB27" s="69"/>
      <c r="AC27" s="69"/>
      <c r="AD27" s="69"/>
      <c r="AE27" s="52">
        <f>'WBS - Updated Product Backlog'!$H$4</f>
        <v>5</v>
      </c>
    </row>
    <row r="28" spans="2:31" ht="30" customHeight="1">
      <c r="B28" s="69" t="str">
        <f>'WBS - Updated Product Backlog'!$C$54&amp;"  "&amp;'WBS - Updated Product Backlog'!$D$54&amp;""</f>
        <v>5.2.1  Implement dispute-resolution workflow</v>
      </c>
      <c r="C28" s="69"/>
      <c r="D28" s="69"/>
      <c r="E28" s="69"/>
      <c r="F28" s="69"/>
      <c r="G28" s="52">
        <f>'WBS - Updated Product Backlog'!$P$54</f>
        <v>6</v>
      </c>
      <c r="I28" s="69" t="str">
        <f>'WBS - Updated Product Backlog'!$C$41&amp;"  "&amp;'WBS - Updated Product Backlog'!$D$41&amp;""</f>
        <v>4.2.1  Submit complaint for a completed service</v>
      </c>
      <c r="J28" s="69"/>
      <c r="K28" s="69"/>
      <c r="L28" s="69"/>
      <c r="M28" s="52">
        <f>'WBS - Updated Product Backlog'!$N$41</f>
        <v>5</v>
      </c>
      <c r="O28" s="69" t="str">
        <f>'WBS - Updated Product Backlog'!$C$27&amp;"  "&amp;'WBS - Updated Product Backlog'!$D$27&amp;""</f>
        <v>3.1.3  Validate service category, issue details and required fields</v>
      </c>
      <c r="P28" s="69"/>
      <c r="Q28" s="69"/>
      <c r="R28" s="69"/>
      <c r="S28" s="52">
        <f>'WBS - Updated Product Backlog'!$L$27</f>
        <v>6</v>
      </c>
      <c r="U28" s="69" t="str">
        <f>'WBS - Updated Product Backlog'!$C$18&amp;"  "&amp;'WBS - Updated Product Backlog'!$D$18&amp;""</f>
        <v>2.2.2  Calculate distance/radius and rank nearby results</v>
      </c>
      <c r="V28" s="69"/>
      <c r="W28" s="69"/>
      <c r="X28" s="69"/>
      <c r="Y28" s="52">
        <f>'WBS - Updated Product Backlog'!$J$18</f>
        <v>8</v>
      </c>
      <c r="AA28" s="69" t="str">
        <f>'WBS - Updated Product Backlog'!$C$5&amp;"  "&amp;'WBS - Updated Product Backlog'!$D$5&amp;""</f>
        <v>1.1.4  Implement login, session handling and logout</v>
      </c>
      <c r="AB28" s="69"/>
      <c r="AC28" s="69"/>
      <c r="AD28" s="69"/>
      <c r="AE28" s="52">
        <f>'WBS - Updated Product Backlog'!$H$5</f>
        <v>6</v>
      </c>
    </row>
    <row r="29" spans="2:31" ht="30" customHeight="1">
      <c r="B29" s="69" t="str">
        <f>'WBS - Updated Product Backlog'!$C$55&amp;"  "&amp;'WBS - Updated Product Backlog'!$D$55&amp;""</f>
        <v>5.2.2  Add important platform-activity and admin audit monitoring</v>
      </c>
      <c r="C29" s="69"/>
      <c r="D29" s="69"/>
      <c r="E29" s="69"/>
      <c r="F29" s="69"/>
      <c r="G29" s="52">
        <f>'WBS - Updated Product Backlog'!$P$55</f>
        <v>5</v>
      </c>
      <c r="I29" s="69" t="str">
        <f>'WBS - Updated Product Backlog'!$C$42&amp;"  "&amp;'WBS - Updated Product Backlog'!$D$42&amp;""</f>
        <v>4.2.2  Report a safety concern for admin review</v>
      </c>
      <c r="J29" s="69"/>
      <c r="K29" s="69"/>
      <c r="L29" s="69"/>
      <c r="M29" s="52">
        <f>'WBS - Updated Product Backlog'!$N$42</f>
        <v>5</v>
      </c>
      <c r="O29" s="69" t="str">
        <f>'WBS - Updated Product Backlog'!$C$28&amp;"  "&amp;'WBS - Updated Product Backlog'!$D$28&amp;""</f>
        <v>3.1.4  Save request and generate a unique request ID</v>
      </c>
      <c r="P29" s="69"/>
      <c r="Q29" s="69"/>
      <c r="R29" s="69"/>
      <c r="S29" s="52">
        <f>'WBS - Updated Product Backlog'!$L$28</f>
        <v>6</v>
      </c>
      <c r="U29" s="69" t="str">
        <f>'WBS - Updated Product Backlog'!$C$19&amp;"  "&amp;'WBS - Updated Product Backlog'!$D$19&amp;""</f>
        <v>2.2.3  Filter and sort by distance, rating and availability</v>
      </c>
      <c r="V29" s="69"/>
      <c r="W29" s="69"/>
      <c r="X29" s="69"/>
      <c r="Y29" s="52">
        <f>'WBS - Updated Product Backlog'!$J$19</f>
        <v>7</v>
      </c>
      <c r="AA29" s="69" t="str">
        <f>'WBS - Updated Product Backlog'!$C$6&amp;"  "&amp;'WBS - Updated Product Backlog'!$D$6&amp;""</f>
        <v>1.2.1  Build customer profile page</v>
      </c>
      <c r="AB29" s="69"/>
      <c r="AC29" s="69"/>
      <c r="AD29" s="69"/>
      <c r="AE29" s="52">
        <f>'WBS - Updated Product Backlog'!$H$6</f>
        <v>4</v>
      </c>
    </row>
    <row r="30" spans="2:31" ht="30" customHeight="1">
      <c r="B30" s="69" t="str">
        <f>'WBS - Updated Product Backlog'!$C$56&amp;"  "&amp;'WBS - Updated Product Backlog'!$D$56&amp;""</f>
        <v>5.2.3  Integrate all five modules with shared navigation and API contracts</v>
      </c>
      <c r="C30" s="69"/>
      <c r="D30" s="69"/>
      <c r="E30" s="69"/>
      <c r="F30" s="69"/>
      <c r="G30" s="52">
        <f>'WBS - Updated Product Backlog'!$P$56</f>
        <v>7</v>
      </c>
      <c r="I30" s="69" t="str">
        <f>'WBS - Updated Product Backlog'!$C$43&amp;"  "&amp;'WBS - Updated Product Backlog'!$D$43&amp;""</f>
        <v>4.2.3  Build admin complaint and safety-review queue</v>
      </c>
      <c r="J30" s="69"/>
      <c r="K30" s="69"/>
      <c r="L30" s="69"/>
      <c r="M30" s="52">
        <f>'WBS - Updated Product Backlog'!$N$43</f>
        <v>7</v>
      </c>
      <c r="O30" s="69" t="str">
        <f>'WBS - Updated Product Backlog'!$C$29&amp;"  "&amp;'WBS - Updated Product Backlog'!$D$29&amp;""</f>
        <v>3.2.1  Build technician incoming-request queue</v>
      </c>
      <c r="P30" s="69"/>
      <c r="Q30" s="69"/>
      <c r="R30" s="69"/>
      <c r="S30" s="52">
        <f>'WBS - Updated Product Backlog'!$L$29</f>
        <v>5</v>
      </c>
      <c r="U30" s="69" t="str">
        <f>'WBS - Updated Product Backlog'!$C$20&amp;"  "&amp;'WBS - Updated Product Backlog'!$D$20&amp;""</f>
        <v>2.2.4  Build map/list results with technician profile links</v>
      </c>
      <c r="V30" s="69"/>
      <c r="W30" s="69"/>
      <c r="X30" s="69"/>
      <c r="Y30" s="52">
        <f>'WBS - Updated Product Backlog'!$J$20</f>
        <v>9</v>
      </c>
      <c r="AA30" s="69" t="str">
        <f>'WBS - Updated Product Backlog'!$C$7&amp;"  "&amp;'WBS - Updated Product Backlog'!$D$7&amp;""</f>
        <v>1.2.2  Implement profile update functionality</v>
      </c>
      <c r="AB30" s="69"/>
      <c r="AC30" s="69"/>
      <c r="AD30" s="69"/>
      <c r="AE30" s="52">
        <f>'WBS - Updated Product Backlog'!$H$7</f>
        <v>5</v>
      </c>
    </row>
    <row r="31" spans="2:31" ht="30" customHeight="1">
      <c r="B31" s="69" t="str">
        <f>'WBS - Updated Product Backlog'!$C$57&amp;"  "&amp;'WBS - Updated Product Backlog'!$D$57&amp;""</f>
        <v>5.2.4  Run end-to-end integration and smoke tests</v>
      </c>
      <c r="C31" s="69"/>
      <c r="D31" s="69"/>
      <c r="E31" s="69"/>
      <c r="F31" s="69"/>
      <c r="G31" s="52">
        <f>'WBS - Updated Product Backlog'!$P$57</f>
        <v>7</v>
      </c>
      <c r="I31" s="69" t="str">
        <f>'WBS - Updated Product Backlog'!$C$44&amp;"  "&amp;'WBS - Updated Product Backlog'!$D$44&amp;""</f>
        <v>4.2.4  Record action, resolution and complaint status</v>
      </c>
      <c r="J31" s="69"/>
      <c r="K31" s="69"/>
      <c r="L31" s="69"/>
      <c r="M31" s="52">
        <f>'WBS - Updated Product Backlog'!$N$44</f>
        <v>8</v>
      </c>
      <c r="O31" s="69" t="str">
        <f>'WBS - Updated Product Backlog'!$C$30&amp;"  "&amp;'WBS - Updated Product Backlog'!$D$30&amp;""</f>
        <v>3.2.2  Implement accept/reject response workflow</v>
      </c>
      <c r="P31" s="69"/>
      <c r="Q31" s="69"/>
      <c r="R31" s="69"/>
      <c r="S31" s="52">
        <f>'WBS - Updated Product Backlog'!$L$30</f>
        <v>6</v>
      </c>
      <c r="U31" s="69" t="str">
        <f>'WBS - Updated Product Backlog'!$C$21&amp;"  "&amp;'WBS - Updated Product Backlog'!$D$21&amp;""</f>
        <v>2.3.1  Handle location-permission and map/API errors</v>
      </c>
      <c r="V31" s="69"/>
      <c r="W31" s="69"/>
      <c r="X31" s="69"/>
      <c r="Y31" s="52">
        <f>'WBS - Updated Product Backlog'!$J$21</f>
        <v>5</v>
      </c>
      <c r="AA31" s="69" t="str">
        <f>'WBS - Updated Product Backlog'!$C$8&amp;"  "&amp;'WBS - Updated Product Backlog'!$D$8&amp;""</f>
        <v>1.2.3  Implement forgot-password and password-reset flow</v>
      </c>
      <c r="AB31" s="69"/>
      <c r="AC31" s="69"/>
      <c r="AD31" s="69"/>
      <c r="AE31" s="52">
        <f>'WBS - Updated Product Backlog'!$H$8</f>
        <v>5</v>
      </c>
    </row>
    <row r="32" spans="2:31" ht="30" customHeight="1">
      <c r="B32" s="69" t="str">
        <f>'WBS - Updated Product Backlog'!$C$58&amp;"  "&amp;'WBS - Updated Product Backlog'!$D$58&amp;""</f>
        <v>5.3.1  Prepare and execute user-acceptance test cases</v>
      </c>
      <c r="C32" s="69"/>
      <c r="D32" s="69"/>
      <c r="E32" s="69"/>
      <c r="F32" s="69"/>
      <c r="G32" s="52">
        <f>'WBS - Updated Product Backlog'!$P$58</f>
        <v>7</v>
      </c>
      <c r="I32" s="69" t="str">
        <f>'WBS - Updated Product Backlog'!$C$45&amp;"  "&amp;'WBS - Updated Product Backlog'!$D$45&amp;""</f>
        <v>4.3.1  Flag abusive, fake or duplicate review candidates using basic rules</v>
      </c>
      <c r="J32" s="69"/>
      <c r="K32" s="69"/>
      <c r="L32" s="69"/>
      <c r="M32" s="52">
        <f>'WBS - Updated Product Backlog'!$N$45</f>
        <v>6</v>
      </c>
      <c r="O32" s="69" t="str">
        <f>'WBS - Updated Product Backlog'!$C$31&amp;"  "&amp;'WBS - Updated Product Backlog'!$D$31&amp;""</f>
        <v>3.2.3  Send customer confirmation and request notification</v>
      </c>
      <c r="P32" s="69"/>
      <c r="Q32" s="69"/>
      <c r="R32" s="69"/>
      <c r="S32" s="52">
        <f>'WBS - Updated Product Backlog'!$L$31</f>
        <v>7</v>
      </c>
      <c r="U32" s="69" t="str">
        <f>'WBS - Updated Product Backlog'!$C$22&amp;"  "&amp;'WBS - Updated Product Backlog'!$D$22&amp;""</f>
        <v>2.3.2  Implement area/service fallback when map results fail</v>
      </c>
      <c r="V32" s="69"/>
      <c r="W32" s="69"/>
      <c r="X32" s="69"/>
      <c r="Y32" s="52">
        <f>'WBS - Updated Product Backlog'!$J$22</f>
        <v>6</v>
      </c>
      <c r="AA32" s="69" t="str">
        <f>'WBS - Updated Product Backlog'!$C$9&amp;"  "&amp;'WBS - Updated Product Backlog'!$D$9&amp;""</f>
        <v>1.2.4  Apply customer, technician and admin role-based access</v>
      </c>
      <c r="AB32" s="69"/>
      <c r="AC32" s="69"/>
      <c r="AD32" s="69"/>
      <c r="AE32" s="52">
        <f>'WBS - Updated Product Backlog'!$H$9</f>
        <v>6</v>
      </c>
    </row>
    <row r="33" spans="2:31" ht="30" customHeight="1">
      <c r="B33" s="69" t="str">
        <f>'WBS - Updated Product Backlog'!$C$59&amp;"  "&amp;'WBS - Updated Product Backlog'!$D$59&amp;""</f>
        <v>5.3.2  Fix critical defects and run regression tests</v>
      </c>
      <c r="C33" s="69"/>
      <c r="D33" s="69"/>
      <c r="E33" s="69"/>
      <c r="F33" s="69"/>
      <c r="G33" s="52">
        <f>'WBS - Updated Product Backlog'!$P$59</f>
        <v>7</v>
      </c>
      <c r="I33" s="69" t="str">
        <f>'WBS - Updated Product Backlog'!$C$46&amp;"  "&amp;'WBS - Updated Product Backlog'!$D$46&amp;""</f>
        <v>4.3.2  Allow admin to hide or restore inappropriate reviews</v>
      </c>
      <c r="J33" s="69"/>
      <c r="K33" s="69"/>
      <c r="L33" s="69"/>
      <c r="M33" s="52">
        <f>'WBS - Updated Product Backlog'!$N$46</f>
        <v>6</v>
      </c>
      <c r="O33" s="69" t="str">
        <f>'WBS - Updated Product Backlog'!$C$32&amp;"  "&amp;'WBS - Updated Product Backlog'!$D$32&amp;""</f>
        <v>3.3.1  Implement request status transitions from sent to completed</v>
      </c>
      <c r="P33" s="69"/>
      <c r="Q33" s="69"/>
      <c r="R33" s="69"/>
      <c r="S33" s="52">
        <f>'WBS - Updated Product Backlog'!$L$32</f>
        <v>7</v>
      </c>
      <c r="U33" s="69" t="str">
        <f>'WBS - Updated Product Backlog'!$C$23&amp;"  "&amp;'WBS - Updated Product Backlog'!$D$23&amp;""</f>
        <v>2.3.3  Test multiple Dhaka locations, empty states and edge cases</v>
      </c>
      <c r="V33" s="69"/>
      <c r="W33" s="69"/>
      <c r="X33" s="69"/>
      <c r="Y33" s="52">
        <f>'WBS - Updated Product Backlog'!$J$23</f>
        <v>5</v>
      </c>
      <c r="AA33" s="69" t="str">
        <f>'WBS - Updated Product Backlog'!$C$10&amp;"  "&amp;'WBS - Updated Product Backlog'!$D$10&amp;""</f>
        <v>1.3.1  Create technician service-category and working-area form</v>
      </c>
      <c r="AB33" s="69"/>
      <c r="AC33" s="69"/>
      <c r="AD33" s="69"/>
      <c r="AE33" s="52">
        <f>'WBS - Updated Product Backlog'!$H$10</f>
        <v>5</v>
      </c>
    </row>
    <row r="34" spans="2:31" ht="30" customHeight="1">
      <c r="B34" s="69" t="str">
        <f>'WBS - Updated Product Backlog'!$C$60&amp;"  "&amp;'WBS - Updated Product Backlog'!$D$60&amp;""</f>
        <v>5.3.3  Verify security, roles and technician-verification controls</v>
      </c>
      <c r="C34" s="69"/>
      <c r="D34" s="69"/>
      <c r="E34" s="69"/>
      <c r="F34" s="69"/>
      <c r="G34" s="52">
        <f>'WBS - Updated Product Backlog'!$P$60</f>
        <v>5</v>
      </c>
      <c r="I34" s="69" t="str">
        <f>'WBS - Updated Product Backlog'!$C$47&amp;"  "&amp;'WBS - Updated Product Backlog'!$D$47&amp;""</f>
        <v>4.3.3  Show verified-service indicator on eligible reviews</v>
      </c>
      <c r="J34" s="69"/>
      <c r="K34" s="69"/>
      <c r="L34" s="69"/>
      <c r="M34" s="52">
        <f>'WBS - Updated Product Backlog'!$N$47</f>
        <v>4</v>
      </c>
      <c r="O34" s="69" t="str">
        <f>'WBS - Updated Product Backlog'!$C$33&amp;"  "&amp;'WBS - Updated Product Backlog'!$D$33&amp;""</f>
        <v>3.3.2  Build customer status timeline and tracking view</v>
      </c>
      <c r="P34" s="69"/>
      <c r="Q34" s="69"/>
      <c r="R34" s="69"/>
      <c r="S34" s="52">
        <f>'WBS - Updated Product Backlog'!$L$33</f>
        <v>5</v>
      </c>
      <c r="U34" s="69" t="str">
        <f>'WBS - Updated Product Backlog'!$C$24&amp;"  "&amp;'WBS - Updated Product Backlog'!$D$24&amp;""</f>
        <v>2.3.4  Limit and handle stored location data safely</v>
      </c>
      <c r="V34" s="69"/>
      <c r="W34" s="69"/>
      <c r="X34" s="69"/>
      <c r="Y34" s="52">
        <f>'WBS - Updated Product Backlog'!$J$24</f>
        <v>4</v>
      </c>
      <c r="AA34" s="69" t="str">
        <f>'WBS - Updated Product Backlog'!$C$12&amp;"  "&amp;'WBS - Updated Product Backlog'!$D$12&amp;""</f>
        <v>1.3.3  Build admin approve/reject verification workflow</v>
      </c>
      <c r="AB34" s="69"/>
      <c r="AC34" s="69"/>
      <c r="AD34" s="69"/>
      <c r="AE34" s="52">
        <f>'WBS - Updated Product Backlog'!$H$12</f>
        <v>6</v>
      </c>
    </row>
    <row r="35" spans="2:31" ht="30" customHeight="1">
      <c r="B35" s="69" t="str">
        <f>'WBS - Updated Product Backlog'!$C$61&amp;"  "&amp;'WBS - Updated Product Backlog'!$D$61&amp;""</f>
        <v>5.3.4  Configure demo deployment, domain and SSL</v>
      </c>
      <c r="C35" s="69"/>
      <c r="D35" s="69"/>
      <c r="E35" s="69"/>
      <c r="F35" s="69"/>
      <c r="G35" s="52">
        <f>'WBS - Updated Product Backlog'!$P$61</f>
        <v>5</v>
      </c>
      <c r="I35" s="69" t="str">
        <f>'WBS - Updated Product Backlog'!$C$48&amp;"  "&amp;'WBS - Updated Product Backlog'!$D$48&amp;""</f>
        <v>4.3.4  Run rating, complaint and moderation workflow tests</v>
      </c>
      <c r="J35" s="69"/>
      <c r="K35" s="69"/>
      <c r="L35" s="69"/>
      <c r="M35" s="52">
        <f>'WBS - Updated Product Backlog'!$N$48</f>
        <v>4</v>
      </c>
      <c r="O35" s="69" t="str">
        <f>'WBS - Updated Product Backlog'!$C$34&amp;"  "&amp;'WBS - Updated Product Backlog'!$D$34&amp;""</f>
        <v>3.3.3  Add controlled emergency/urgent request flag</v>
      </c>
      <c r="P35" s="69"/>
      <c r="Q35" s="69"/>
      <c r="R35" s="69"/>
      <c r="S35" s="52">
        <f>'WBS - Updated Product Backlog'!$L$34</f>
        <v>6</v>
      </c>
      <c r="U35" s="69"/>
      <c r="V35" s="69"/>
      <c r="W35" s="69"/>
      <c r="X35" s="69"/>
      <c r="Y35" s="52"/>
      <c r="AA35" s="69" t="str">
        <f>'WBS - Updated Product Backlog'!$C$13&amp;"  "&amp;'WBS - Updated Product Backlog'!$D$13&amp;""</f>
        <v>1.3.4  Show verification status and verified badge</v>
      </c>
      <c r="AB35" s="69"/>
      <c r="AC35" s="69"/>
      <c r="AD35" s="69"/>
      <c r="AE35" s="52">
        <f>'WBS - Updated Product Backlog'!$H$13</f>
        <v>4</v>
      </c>
    </row>
    <row r="36" spans="2:31" ht="30" customHeight="1">
      <c r="B36" s="69" t="str">
        <f>'WBS - Updated Product Backlog'!$C$62&amp;"  "&amp;'WBS - Updated Product Backlog'!$D$62&amp;""</f>
        <v>5.3.5  Complete final documentation, demonstration and handover</v>
      </c>
      <c r="C36" s="69"/>
      <c r="D36" s="69"/>
      <c r="E36" s="69"/>
      <c r="F36" s="69"/>
      <c r="G36" s="52">
        <f>'WBS - Updated Product Backlog'!$P$62</f>
        <v>6</v>
      </c>
      <c r="I36" s="69" t="str">
        <f>'WBS - Updated Product Backlog'!$C$49&amp;"  "&amp;'WBS - Updated Product Backlog'!$D$49&amp;""</f>
        <v>5.1.1  Build admin dashboard summary</v>
      </c>
      <c r="J36" s="69"/>
      <c r="K36" s="69"/>
      <c r="L36" s="69"/>
      <c r="M36" s="52">
        <f>'WBS - Updated Product Backlog'!$N$49</f>
        <v>5</v>
      </c>
      <c r="O36" s="69" t="str">
        <f>'WBS - Updated Product Backlog'!$C$35&amp;"  "&amp;'WBS - Updated Product Backlog'!$D$35&amp;""</f>
        <v>3.3.4  Display estimated price/time and booking confirmation</v>
      </c>
      <c r="P36" s="69"/>
      <c r="Q36" s="69"/>
      <c r="R36" s="69"/>
      <c r="S36" s="52">
        <f>'WBS - Updated Product Backlog'!$L$35</f>
        <v>6</v>
      </c>
      <c r="U36" s="69"/>
      <c r="V36" s="69"/>
      <c r="W36" s="69"/>
      <c r="X36" s="69"/>
      <c r="Y36" s="52"/>
      <c r="AA36" s="69" t="str">
        <f>'WBS - Updated Product Backlog'!$C$14&amp;"  "&amp;'WBS - Updated Product Backlog'!$D$14&amp;""</f>
        <v>2.1.1  Request browser location permission and capture coordinates</v>
      </c>
      <c r="AB36" s="69"/>
      <c r="AC36" s="69"/>
      <c r="AD36" s="69"/>
      <c r="AE36" s="52">
        <f>'WBS - Updated Product Backlog'!$H$14</f>
        <v>5</v>
      </c>
    </row>
    <row r="37" spans="2:31" ht="30" customHeight="1">
      <c r="B37" s="69"/>
      <c r="C37" s="69"/>
      <c r="D37" s="69"/>
      <c r="E37" s="69"/>
      <c r="F37" s="69"/>
      <c r="G37" s="52"/>
      <c r="I37" s="69" t="str">
        <f>'WBS - Updated Product Backlog'!$C$50&amp;"  "&amp;'WBS - Updated Product Backlog'!$D$50&amp;""</f>
        <v>5.1.2  Search and view customers, technicians and service requests</v>
      </c>
      <c r="J37" s="69"/>
      <c r="K37" s="69"/>
      <c r="L37" s="69"/>
      <c r="M37" s="52">
        <f>'WBS - Updated Product Backlog'!$N$50</f>
        <v>5</v>
      </c>
      <c r="O37" s="69" t="str">
        <f>'WBS - Updated Product Backlog'!$C$36&amp;"  "&amp;'WBS - Updated Product Backlog'!$D$36&amp;""</f>
        <v>3.3.5  Notify users about important request-status changes</v>
      </c>
      <c r="P37" s="69"/>
      <c r="Q37" s="69"/>
      <c r="R37" s="69"/>
      <c r="S37" s="52">
        <f>'WBS - Updated Product Backlog'!$L$36</f>
        <v>6</v>
      </c>
      <c r="U37" s="69"/>
      <c r="V37" s="69"/>
      <c r="W37" s="69"/>
      <c r="X37" s="69"/>
      <c r="Y37" s="52"/>
      <c r="AA37" s="69"/>
      <c r="AB37" s="69"/>
      <c r="AC37" s="69"/>
      <c r="AD37" s="69"/>
      <c r="AE37" s="52"/>
    </row>
    <row r="38" spans="2:31" ht="30" customHeight="1">
      <c r="B38" s="69"/>
      <c r="C38" s="69"/>
      <c r="D38" s="69"/>
      <c r="E38" s="69"/>
      <c r="F38" s="69"/>
      <c r="G38" s="52"/>
      <c r="I38" s="69"/>
      <c r="J38" s="69"/>
      <c r="K38" s="69"/>
      <c r="L38" s="69"/>
      <c r="M38" s="52"/>
      <c r="O38" s="69" t="str">
        <f>'WBS - Updated Product Backlog'!$C$37&amp;"  "&amp;'WBS - Updated Product Backlog'!$D$37&amp;""</f>
        <v>4.1.1  Enable rating only after a completed service</v>
      </c>
      <c r="P38" s="69"/>
      <c r="Q38" s="69"/>
      <c r="R38" s="69"/>
      <c r="S38" s="52">
        <f>'WBS - Updated Product Backlog'!$L$37</f>
        <v>5</v>
      </c>
      <c r="U38" s="69"/>
      <c r="V38" s="69"/>
      <c r="W38" s="69"/>
      <c r="X38" s="69"/>
      <c r="Y38" s="52"/>
      <c r="AA38" s="69"/>
      <c r="AB38" s="69"/>
      <c r="AC38" s="69"/>
      <c r="AD38" s="69"/>
      <c r="AE38" s="52"/>
    </row>
    <row r="39" spans="2:31" ht="18" customHeight="1">
      <c r="B39" s="67" t="s">
        <v>198</v>
      </c>
      <c r="C39" s="67" t="s">
        <v>198</v>
      </c>
      <c r="D39" s="67" t="s">
        <v>198</v>
      </c>
      <c r="E39" s="67" t="s">
        <v>198</v>
      </c>
      <c r="F39" s="67" t="s">
        <v>198</v>
      </c>
      <c r="G39" s="50">
        <f>SUM(G25:G38)</f>
        <v>70</v>
      </c>
      <c r="I39" s="67" t="s">
        <v>198</v>
      </c>
      <c r="J39" s="67" t="s">
        <v>198</v>
      </c>
      <c r="K39" s="67" t="s">
        <v>198</v>
      </c>
      <c r="L39" s="67" t="s">
        <v>198</v>
      </c>
      <c r="M39" s="50">
        <f>SUM(M25:M38)</f>
        <v>70</v>
      </c>
      <c r="O39" s="67" t="s">
        <v>198</v>
      </c>
      <c r="P39" s="67" t="s">
        <v>198</v>
      </c>
      <c r="Q39" s="67" t="s">
        <v>198</v>
      </c>
      <c r="R39" s="67" t="s">
        <v>198</v>
      </c>
      <c r="S39" s="50">
        <f>SUM(S25:S38)</f>
        <v>80</v>
      </c>
      <c r="U39" s="67" t="s">
        <v>198</v>
      </c>
      <c r="V39" s="67" t="s">
        <v>198</v>
      </c>
      <c r="W39" s="67" t="s">
        <v>198</v>
      </c>
      <c r="X39" s="67" t="s">
        <v>198</v>
      </c>
      <c r="Y39" s="50">
        <f>SUM(Y25:Y38)</f>
        <v>68</v>
      </c>
      <c r="AA39" s="67" t="s">
        <v>198</v>
      </c>
      <c r="AB39" s="67" t="s">
        <v>198</v>
      </c>
      <c r="AC39" s="67" t="s">
        <v>198</v>
      </c>
      <c r="AD39" s="67" t="s">
        <v>198</v>
      </c>
      <c r="AE39" s="50">
        <f>SUM(AE25:AE38)</f>
        <v>62</v>
      </c>
    </row>
  </sheetData>
  <mergeCells count="150">
    <mergeCell ref="AA35:AD35"/>
    <mergeCell ref="AA36:AD36"/>
    <mergeCell ref="AA37:AD37"/>
    <mergeCell ref="AA38:AD38"/>
    <mergeCell ref="AA39:AD39"/>
    <mergeCell ref="AA30:AD30"/>
    <mergeCell ref="AA31:AD31"/>
    <mergeCell ref="AA32:AD32"/>
    <mergeCell ref="AA33:AD33"/>
    <mergeCell ref="AA34:AD34"/>
    <mergeCell ref="AA25:AD25"/>
    <mergeCell ref="AA26:AD26"/>
    <mergeCell ref="AA27:AD27"/>
    <mergeCell ref="AA28:AD28"/>
    <mergeCell ref="AA29:AD29"/>
    <mergeCell ref="AA20:AC20"/>
    <mergeCell ref="AA21:AC21"/>
    <mergeCell ref="AD21:AE21"/>
    <mergeCell ref="AA23:AE23"/>
    <mergeCell ref="AA24:AD24"/>
    <mergeCell ref="AA14:AC14"/>
    <mergeCell ref="AA15:AC15"/>
    <mergeCell ref="AA16:AC16"/>
    <mergeCell ref="AA18:AC18"/>
    <mergeCell ref="AA19:AC19"/>
    <mergeCell ref="AA2:AE2"/>
    <mergeCell ref="AA9:AB9"/>
    <mergeCell ref="AA10:AC10"/>
    <mergeCell ref="AA11:AC11"/>
    <mergeCell ref="AA12:AC12"/>
    <mergeCell ref="U35:X35"/>
    <mergeCell ref="U36:X36"/>
    <mergeCell ref="U37:X37"/>
    <mergeCell ref="U38:X38"/>
    <mergeCell ref="U39:X39"/>
    <mergeCell ref="U30:X30"/>
    <mergeCell ref="U31:X31"/>
    <mergeCell ref="U32:X32"/>
    <mergeCell ref="U33:X33"/>
    <mergeCell ref="U34:X34"/>
    <mergeCell ref="U25:X25"/>
    <mergeCell ref="U26:X26"/>
    <mergeCell ref="U27:X27"/>
    <mergeCell ref="U28:X28"/>
    <mergeCell ref="U29:X29"/>
    <mergeCell ref="U20:W20"/>
    <mergeCell ref="U21:W21"/>
    <mergeCell ref="X21:Y21"/>
    <mergeCell ref="U23:Y23"/>
    <mergeCell ref="U24:X24"/>
    <mergeCell ref="U14:W14"/>
    <mergeCell ref="U15:W15"/>
    <mergeCell ref="U16:W16"/>
    <mergeCell ref="U18:W18"/>
    <mergeCell ref="U19:W19"/>
    <mergeCell ref="U2:Y2"/>
    <mergeCell ref="U9:V9"/>
    <mergeCell ref="U10:W10"/>
    <mergeCell ref="U11:W11"/>
    <mergeCell ref="U12:W12"/>
    <mergeCell ref="O35:R35"/>
    <mergeCell ref="O36:R36"/>
    <mergeCell ref="O37:R37"/>
    <mergeCell ref="O38:R38"/>
    <mergeCell ref="O39:R39"/>
    <mergeCell ref="O30:R30"/>
    <mergeCell ref="O31:R31"/>
    <mergeCell ref="O32:R32"/>
    <mergeCell ref="O33:R33"/>
    <mergeCell ref="O34:R34"/>
    <mergeCell ref="O25:R25"/>
    <mergeCell ref="O26:R26"/>
    <mergeCell ref="O27:R27"/>
    <mergeCell ref="O28:R28"/>
    <mergeCell ref="O29:R29"/>
    <mergeCell ref="O20:Q20"/>
    <mergeCell ref="O21:Q21"/>
    <mergeCell ref="R21:S21"/>
    <mergeCell ref="O23:S23"/>
    <mergeCell ref="O24:R24"/>
    <mergeCell ref="O14:Q14"/>
    <mergeCell ref="O15:Q15"/>
    <mergeCell ref="O16:Q16"/>
    <mergeCell ref="O18:Q18"/>
    <mergeCell ref="O19:Q19"/>
    <mergeCell ref="O2:S2"/>
    <mergeCell ref="O9:P9"/>
    <mergeCell ref="O10:Q10"/>
    <mergeCell ref="O11:Q11"/>
    <mergeCell ref="O12:Q12"/>
    <mergeCell ref="I35:L35"/>
    <mergeCell ref="I36:L36"/>
    <mergeCell ref="I37:L37"/>
    <mergeCell ref="I38:L38"/>
    <mergeCell ref="I39:L39"/>
    <mergeCell ref="I30:L30"/>
    <mergeCell ref="I31:L31"/>
    <mergeCell ref="I32:L32"/>
    <mergeCell ref="I33:L33"/>
    <mergeCell ref="I34:L34"/>
    <mergeCell ref="I25:L25"/>
    <mergeCell ref="I26:L26"/>
    <mergeCell ref="I27:L27"/>
    <mergeCell ref="I28:L28"/>
    <mergeCell ref="I29:L29"/>
    <mergeCell ref="I20:K20"/>
    <mergeCell ref="I21:K21"/>
    <mergeCell ref="L21:M21"/>
    <mergeCell ref="I23:M23"/>
    <mergeCell ref="I24:L24"/>
    <mergeCell ref="I14:K14"/>
    <mergeCell ref="I15:K15"/>
    <mergeCell ref="I16:K16"/>
    <mergeCell ref="I18:K18"/>
    <mergeCell ref="I19:K19"/>
    <mergeCell ref="I2:M2"/>
    <mergeCell ref="I9:J9"/>
    <mergeCell ref="I10:K10"/>
    <mergeCell ref="I11:K11"/>
    <mergeCell ref="I12:K12"/>
    <mergeCell ref="B35:F35"/>
    <mergeCell ref="B36:F36"/>
    <mergeCell ref="B37:F37"/>
    <mergeCell ref="B38:F38"/>
    <mergeCell ref="B39:F39"/>
    <mergeCell ref="B30:F30"/>
    <mergeCell ref="B31:F31"/>
    <mergeCell ref="B32:F32"/>
    <mergeCell ref="B33:F33"/>
    <mergeCell ref="B34:F34"/>
    <mergeCell ref="B25:F25"/>
    <mergeCell ref="B26:F26"/>
    <mergeCell ref="B27:F27"/>
    <mergeCell ref="B28:F28"/>
    <mergeCell ref="B29:F29"/>
    <mergeCell ref="B20:E20"/>
    <mergeCell ref="B21:E21"/>
    <mergeCell ref="F21:G21"/>
    <mergeCell ref="B23:G23"/>
    <mergeCell ref="B24:F24"/>
    <mergeCell ref="B14:E14"/>
    <mergeCell ref="B15:E15"/>
    <mergeCell ref="B16:E16"/>
    <mergeCell ref="B18:E18"/>
    <mergeCell ref="B19:E19"/>
    <mergeCell ref="B2:G2"/>
    <mergeCell ref="B9:D9"/>
    <mergeCell ref="B10:E10"/>
    <mergeCell ref="B11:E11"/>
    <mergeCell ref="B12:E12"/>
  </mergeCells>
  <conditionalFormatting sqref="F16">
    <cfRule type="cellIs" dxfId="33" priority="3" operator="lessThan">
      <formula>0</formula>
    </cfRule>
    <cfRule type="cellIs" dxfId="32" priority="4" operator="greaterThanOrEqual">
      <formula>0</formula>
    </cfRule>
  </conditionalFormatting>
  <conditionalFormatting sqref="F20">
    <cfRule type="cellIs" dxfId="31" priority="1" operator="lessThan">
      <formula>0</formula>
    </cfRule>
    <cfRule type="cellIs" dxfId="30" priority="2" operator="equal">
      <formula>0</formula>
    </cfRule>
  </conditionalFormatting>
  <conditionalFormatting sqref="F21:G21">
    <cfRule type="containsText" dxfId="29" priority="5" operator="containsText" text="Behind Schedule"/>
    <cfRule type="containsText" dxfId="28" priority="6" operator="containsText" text="On Schedule"/>
  </conditionalFormatting>
  <conditionalFormatting sqref="L16">
    <cfRule type="cellIs" dxfId="27" priority="9" operator="lessThan">
      <formula>0</formula>
    </cfRule>
    <cfRule type="cellIs" dxfId="26" priority="10" operator="greaterThanOrEqual">
      <formula>0</formula>
    </cfRule>
  </conditionalFormatting>
  <conditionalFormatting sqref="L20">
    <cfRule type="cellIs" dxfId="25" priority="7" operator="lessThan">
      <formula>0</formula>
    </cfRule>
    <cfRule type="cellIs" dxfId="24" priority="8" operator="equal">
      <formula>0</formula>
    </cfRule>
  </conditionalFormatting>
  <conditionalFormatting sqref="L21:M21">
    <cfRule type="containsText" dxfId="23" priority="11" operator="containsText" text="Behind Schedule"/>
    <cfRule type="containsText" dxfId="22" priority="12" operator="containsText" text="On Schedule"/>
  </conditionalFormatting>
  <conditionalFormatting sqref="R16">
    <cfRule type="cellIs" dxfId="21" priority="15" operator="lessThan">
      <formula>0</formula>
    </cfRule>
    <cfRule type="cellIs" dxfId="20" priority="16" operator="greaterThanOrEqual">
      <formula>0</formula>
    </cfRule>
  </conditionalFormatting>
  <conditionalFormatting sqref="R20">
    <cfRule type="cellIs" dxfId="19" priority="13" operator="lessThan">
      <formula>0</formula>
    </cfRule>
    <cfRule type="cellIs" dxfId="18" priority="14" operator="equal">
      <formula>0</formula>
    </cfRule>
  </conditionalFormatting>
  <conditionalFormatting sqref="R21:S21">
    <cfRule type="containsText" dxfId="17" priority="17" operator="containsText" text="Behind Schedule"/>
    <cfRule type="containsText" dxfId="16" priority="18" operator="containsText" text="On Schedule"/>
  </conditionalFormatting>
  <conditionalFormatting sqref="X16">
    <cfRule type="cellIs" dxfId="15" priority="21" operator="lessThan">
      <formula>0</formula>
    </cfRule>
    <cfRule type="cellIs" dxfId="14" priority="22" operator="greaterThanOrEqual">
      <formula>0</formula>
    </cfRule>
  </conditionalFormatting>
  <conditionalFormatting sqref="X20">
    <cfRule type="cellIs" dxfId="13" priority="19" operator="lessThan">
      <formula>0</formula>
    </cfRule>
    <cfRule type="cellIs" dxfId="12" priority="20" operator="equal">
      <formula>0</formula>
    </cfRule>
  </conditionalFormatting>
  <conditionalFormatting sqref="X21:Y21">
    <cfRule type="containsText" dxfId="11" priority="23" operator="containsText" text="Behind Schedule"/>
    <cfRule type="containsText" dxfId="10" priority="24" operator="containsText" text="On Schedule"/>
  </conditionalFormatting>
  <conditionalFormatting sqref="AD16">
    <cfRule type="cellIs" dxfId="9" priority="27" operator="lessThan">
      <formula>0</formula>
    </cfRule>
    <cfRule type="cellIs" dxfId="8" priority="28" operator="greaterThanOrEqual">
      <formula>0</formula>
    </cfRule>
  </conditionalFormatting>
  <conditionalFormatting sqref="AD20">
    <cfRule type="cellIs" dxfId="7" priority="25" operator="lessThan">
      <formula>0</formula>
    </cfRule>
    <cfRule type="cellIs" dxfId="6" priority="26" operator="equal">
      <formula>0</formula>
    </cfRule>
  </conditionalFormatting>
  <conditionalFormatting sqref="AD21:AE21">
    <cfRule type="containsText" dxfId="5" priority="29" operator="containsText" text="Behind Schedule"/>
    <cfRule type="containsText" dxfId="4" priority="30" operator="containsText" text="On Schedule"/>
  </conditionalFormatting>
  <dataValidations count="1">
    <dataValidation type="decimal" sqref="E4:E8 AC4:AC8 W4:W8 Q4:Q8 K4:K8" xr:uid="{00000000-0002-0000-0100-000000000000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showGridLines="0" workbookViewId="0">
      <selection sqref="A1:L1"/>
    </sheetView>
  </sheetViews>
  <sheetFormatPr defaultRowHeight="14.25"/>
  <cols>
    <col min="1" max="1" width="24.5" customWidth="1"/>
    <col min="2" max="2" width="10" customWidth="1"/>
    <col min="3" max="4" width="10.25" customWidth="1"/>
    <col min="5" max="6" width="12.25" customWidth="1"/>
    <col min="7" max="7" width="11.625" customWidth="1"/>
    <col min="8" max="9" width="13.875" customWidth="1"/>
    <col min="10" max="10" width="22.25" customWidth="1"/>
    <col min="11" max="11" width="10" customWidth="1"/>
    <col min="12" max="12" width="11.625" customWidth="1"/>
  </cols>
  <sheetData>
    <row r="1" spans="1:12" ht="25.5" customHeight="1">
      <c r="A1" s="70" t="s">
        <v>199</v>
      </c>
      <c r="B1" s="70" t="s">
        <v>199</v>
      </c>
      <c r="C1" s="70" t="s">
        <v>199</v>
      </c>
      <c r="D1" s="70" t="s">
        <v>199</v>
      </c>
      <c r="E1" s="70" t="s">
        <v>199</v>
      </c>
      <c r="F1" s="70" t="s">
        <v>199</v>
      </c>
      <c r="G1" s="70" t="s">
        <v>199</v>
      </c>
      <c r="H1" s="70" t="s">
        <v>199</v>
      </c>
      <c r="I1" s="70" t="s">
        <v>199</v>
      </c>
      <c r="J1" s="70" t="s">
        <v>199</v>
      </c>
      <c r="K1" s="70" t="s">
        <v>199</v>
      </c>
      <c r="L1" s="70" t="s">
        <v>199</v>
      </c>
    </row>
    <row r="2" spans="1:12" ht="22.5" customHeight="1">
      <c r="A2" s="71" t="s">
        <v>200</v>
      </c>
      <c r="B2" s="71" t="s">
        <v>200</v>
      </c>
      <c r="C2" s="71" t="s">
        <v>200</v>
      </c>
      <c r="D2" s="71" t="s">
        <v>200</v>
      </c>
      <c r="E2" s="71" t="s">
        <v>200</v>
      </c>
      <c r="F2" s="71" t="s">
        <v>200</v>
      </c>
      <c r="G2" s="71" t="s">
        <v>200</v>
      </c>
      <c r="H2" s="71" t="s">
        <v>200</v>
      </c>
      <c r="I2" s="71" t="s">
        <v>200</v>
      </c>
      <c r="J2" s="71" t="s">
        <v>200</v>
      </c>
      <c r="K2" s="71" t="s">
        <v>200</v>
      </c>
      <c r="L2" s="71" t="s">
        <v>200</v>
      </c>
    </row>
    <row r="4" spans="1:12" ht="21" customHeight="1">
      <c r="A4" s="70" t="s">
        <v>201</v>
      </c>
      <c r="B4" s="70" t="s">
        <v>201</v>
      </c>
      <c r="C4" s="62" t="s">
        <v>202</v>
      </c>
      <c r="D4" s="62" t="s">
        <v>202</v>
      </c>
      <c r="E4" s="73" t="s">
        <v>203</v>
      </c>
      <c r="F4" s="73" t="s">
        <v>203</v>
      </c>
      <c r="G4" s="75" t="s">
        <v>204</v>
      </c>
      <c r="H4" s="75" t="s">
        <v>204</v>
      </c>
      <c r="I4" s="75" t="s">
        <v>204</v>
      </c>
      <c r="J4" s="70" t="s">
        <v>205</v>
      </c>
      <c r="K4" s="70" t="s">
        <v>205</v>
      </c>
      <c r="L4" s="70" t="s">
        <v>205</v>
      </c>
    </row>
    <row r="5" spans="1:12" ht="21" customHeight="1">
      <c r="A5" s="72">
        <f>'Sprint wise spent'!$F$12</f>
        <v>207800</v>
      </c>
      <c r="B5" s="72"/>
      <c r="C5" s="72">
        <f>Config!$D$22</f>
        <v>23000</v>
      </c>
      <c r="D5" s="72"/>
      <c r="E5" s="74">
        <f>'Risk &amp; Opportunity'!$D$5</f>
        <v>20040</v>
      </c>
      <c r="F5" s="74"/>
      <c r="G5" s="72">
        <f>SUM(A5,C5,E5)</f>
        <v>250840</v>
      </c>
      <c r="H5" s="72"/>
      <c r="I5" s="72"/>
      <c r="J5" s="72">
        <f>'WBS - Updated Product Backlog'!$E$63</f>
        <v>350</v>
      </c>
      <c r="K5" s="72"/>
      <c r="L5" s="72"/>
    </row>
    <row r="8" spans="1:12" ht="22.5" customHeight="1">
      <c r="A8" s="70" t="s">
        <v>206</v>
      </c>
      <c r="B8" s="70" t="s">
        <v>206</v>
      </c>
      <c r="D8" s="70" t="s">
        <v>207</v>
      </c>
      <c r="E8" s="70" t="s">
        <v>207</v>
      </c>
      <c r="F8" s="70" t="s">
        <v>207</v>
      </c>
      <c r="G8" s="70" t="s">
        <v>207</v>
      </c>
      <c r="H8" s="70" t="s">
        <v>207</v>
      </c>
      <c r="J8" s="70" t="s">
        <v>208</v>
      </c>
      <c r="K8" s="70" t="s">
        <v>208</v>
      </c>
      <c r="L8" s="70" t="s">
        <v>208</v>
      </c>
    </row>
    <row r="9" spans="1:12" ht="22.5" customHeight="1">
      <c r="A9" s="1" t="s">
        <v>0</v>
      </c>
      <c r="B9" s="1" t="s">
        <v>209</v>
      </c>
      <c r="D9" s="1" t="s">
        <v>210</v>
      </c>
      <c r="E9" s="1" t="s">
        <v>211</v>
      </c>
      <c r="F9" s="1" t="s">
        <v>212</v>
      </c>
      <c r="G9" s="1" t="s">
        <v>213</v>
      </c>
      <c r="H9" s="1" t="s">
        <v>214</v>
      </c>
      <c r="J9" s="62" t="s">
        <v>215</v>
      </c>
      <c r="K9" s="62" t="s">
        <v>215</v>
      </c>
      <c r="L9" s="1" t="s">
        <v>216</v>
      </c>
    </row>
    <row r="10" spans="1:12" ht="27" customHeight="1">
      <c r="A10" s="21" t="s">
        <v>17</v>
      </c>
      <c r="B10" s="53">
        <f>SUM('WBS - Updated Product Backlog'!$E$2:$E$13)</f>
        <v>65</v>
      </c>
      <c r="D10" s="54">
        <v>1</v>
      </c>
      <c r="E10" s="55">
        <f>Config!$B$6+(1-1)*Config!$B$10</f>
        <v>46230</v>
      </c>
      <c r="F10" s="55">
        <f>E10+Config!$B$10-1</f>
        <v>46243</v>
      </c>
      <c r="G10" s="31">
        <f>SUMIF('WBS - Updated Product Backlog'!$F$2:$F$62,D10,'WBS - Updated Product Backlog'!$E$2:$E$62)</f>
        <v>70</v>
      </c>
      <c r="H10" s="31">
        <f>'Sprint wise spent'!$AD$11*Config!$B$12+SUMIF(Config!$C$17:$C$21,D10,Config!$D$17:$D$21)+SUMIF('Risk &amp; Opportunity'!$E$8:$E$15,D10,'Risk &amp; Opportunity'!$L$8:$L$15)</f>
        <v>45090</v>
      </c>
      <c r="J10" s="77" t="s">
        <v>217</v>
      </c>
      <c r="K10" s="77" t="s">
        <v>217</v>
      </c>
      <c r="L10" s="53">
        <f>'Risk &amp; Opportunity'!$A$5</f>
        <v>43690</v>
      </c>
    </row>
    <row r="11" spans="1:12" ht="27" customHeight="1">
      <c r="A11" s="21" t="s">
        <v>45</v>
      </c>
      <c r="B11" s="53">
        <f>SUM('WBS - Updated Product Backlog'!$E$14:$E$24)</f>
        <v>70</v>
      </c>
      <c r="D11" s="54">
        <v>2</v>
      </c>
      <c r="E11" s="55">
        <f>Config!$B$6+(2-1)*Config!$B$10</f>
        <v>46244</v>
      </c>
      <c r="F11" s="55">
        <f>E11+Config!$B$10-1</f>
        <v>46257</v>
      </c>
      <c r="G11" s="31">
        <f>SUMIF('WBS - Updated Product Backlog'!$F$2:$F$62,D11,'WBS - Updated Product Backlog'!$E$2:$E$62)</f>
        <v>70</v>
      </c>
      <c r="H11" s="31">
        <f>'Sprint wise spent'!$X$11*Config!$B$12+SUMIF(Config!$C$17:$C$21,D11,Config!$D$17:$D$21)+SUMIF('Risk &amp; Opportunity'!$E$8:$E$15,D11,'Risk &amp; Opportunity'!$L$8:$L$15)</f>
        <v>55639.999999999993</v>
      </c>
      <c r="J11" s="77" t="s">
        <v>218</v>
      </c>
      <c r="K11" s="77" t="s">
        <v>218</v>
      </c>
      <c r="L11" s="53">
        <f>'Risk &amp; Opportunity'!$D$5</f>
        <v>20040</v>
      </c>
    </row>
    <row r="12" spans="1:12" ht="27" customHeight="1">
      <c r="A12" s="21" t="s">
        <v>71</v>
      </c>
      <c r="B12" s="53">
        <f>SUM('WBS - Updated Product Backlog'!$E$25:$E$36)</f>
        <v>70</v>
      </c>
      <c r="D12" s="54">
        <v>3</v>
      </c>
      <c r="E12" s="55">
        <f>Config!$B$6+(3-1)*Config!$B$10</f>
        <v>46258</v>
      </c>
      <c r="F12" s="55">
        <f>E12+Config!$B$10-1</f>
        <v>46271</v>
      </c>
      <c r="G12" s="31">
        <f>SUMIF('WBS - Updated Product Backlog'!$F$2:$F$62,D12,'WBS - Updated Product Backlog'!$E$2:$E$62)</f>
        <v>70</v>
      </c>
      <c r="H12" s="31">
        <f>'Sprint wise spent'!$R$11*Config!$B$12+SUMIF(Config!$C$17:$C$21,D12,Config!$D$17:$D$21)+SUMIF('Risk &amp; Opportunity'!$E$8:$E$15,D12,'Risk &amp; Opportunity'!$L$8:$L$15)</f>
        <v>41800</v>
      </c>
      <c r="J12" s="77" t="s">
        <v>219</v>
      </c>
      <c r="K12" s="77" t="s">
        <v>219</v>
      </c>
      <c r="L12" s="53">
        <f>'Risk &amp; Opportunity'!$G$5</f>
        <v>22170</v>
      </c>
    </row>
    <row r="13" spans="1:12" ht="27" customHeight="1">
      <c r="A13" s="21" t="s">
        <v>99</v>
      </c>
      <c r="B13" s="53">
        <f>SUM('WBS - Updated Product Backlog'!$E$37:$E$48)</f>
        <v>65</v>
      </c>
      <c r="D13" s="54">
        <v>4</v>
      </c>
      <c r="E13" s="55">
        <f>Config!$B$6+(4-1)*Config!$B$10</f>
        <v>46272</v>
      </c>
      <c r="F13" s="55">
        <f>E13+Config!$B$10-1</f>
        <v>46285</v>
      </c>
      <c r="G13" s="31">
        <f>SUMIF('WBS - Updated Product Backlog'!$F$2:$F$62,D13,'WBS - Updated Product Backlog'!$E$2:$E$62)</f>
        <v>70</v>
      </c>
      <c r="H13" s="31">
        <f>'Sprint wise spent'!$L$11*Config!$B$12+SUMIF(Config!$C$17:$C$21,D13,Config!$D$17:$D$21)+SUMIF('Risk &amp; Opportunity'!$E$8:$E$15,D13,'Risk &amp; Opportunity'!$L$8:$L$15)</f>
        <v>40790</v>
      </c>
      <c r="J13" s="77" t="s">
        <v>220</v>
      </c>
      <c r="K13" s="77" t="s">
        <v>220</v>
      </c>
      <c r="L13" s="53">
        <f>'Risk &amp; Opportunity'!$J$5</f>
        <v>30230</v>
      </c>
    </row>
    <row r="14" spans="1:12" ht="27" customHeight="1">
      <c r="A14" s="21" t="s">
        <v>127</v>
      </c>
      <c r="B14" s="53">
        <f>SUM('WBS - Updated Product Backlog'!$E$49:$E$62)</f>
        <v>80</v>
      </c>
      <c r="D14" s="54">
        <v>5</v>
      </c>
      <c r="E14" s="55">
        <f>Config!$B$6+(5-1)*Config!$B$10</f>
        <v>46286</v>
      </c>
      <c r="F14" s="55">
        <f>E14+Config!$B$10-1</f>
        <v>46299</v>
      </c>
      <c r="G14" s="31">
        <f>SUMIF('WBS - Updated Product Backlog'!$F$2:$F$62,D14,'WBS - Updated Product Backlog'!$E$2:$E$62)</f>
        <v>70</v>
      </c>
      <c r="H14" s="31">
        <f>'Sprint wise spent'!$F$11*Config!$B$12+SUMIF(Config!$C$17:$C$21,D14,Config!$D$17:$D$21)+SUMIF('Risk &amp; Opportunity'!$E$8:$E$15,D14,'Risk &amp; Opportunity'!$L$8:$L$15)</f>
        <v>67520</v>
      </c>
    </row>
    <row r="15" spans="1:12" ht="27" customHeight="1">
      <c r="A15" s="22" t="s">
        <v>198</v>
      </c>
      <c r="B15" s="23">
        <f>SUM(B10:B14)</f>
        <v>350</v>
      </c>
      <c r="D15" s="76" t="s">
        <v>198</v>
      </c>
      <c r="E15" s="76" t="s">
        <v>198</v>
      </c>
      <c r="F15" s="76" t="s">
        <v>198</v>
      </c>
      <c r="G15" s="56">
        <f>SUM(G10:G14)</f>
        <v>350</v>
      </c>
      <c r="H15" s="56">
        <f>SUM(H10:H14)</f>
        <v>250840</v>
      </c>
    </row>
    <row r="18" spans="1:12" ht="25.5" customHeight="1">
      <c r="A18" s="70" t="s">
        <v>221</v>
      </c>
      <c r="B18" s="70" t="s">
        <v>221</v>
      </c>
      <c r="C18" s="70" t="s">
        <v>221</v>
      </c>
      <c r="D18" s="70" t="s">
        <v>221</v>
      </c>
      <c r="E18" s="70" t="s">
        <v>221</v>
      </c>
      <c r="F18" s="70" t="s">
        <v>221</v>
      </c>
      <c r="G18" s="70" t="s">
        <v>221</v>
      </c>
      <c r="H18" s="70" t="s">
        <v>221</v>
      </c>
      <c r="I18" s="70" t="s">
        <v>221</v>
      </c>
      <c r="J18" s="70" t="s">
        <v>222</v>
      </c>
      <c r="K18" s="70" t="s">
        <v>222</v>
      </c>
      <c r="L18" s="70" t="s">
        <v>222</v>
      </c>
    </row>
    <row r="19" spans="1:12" ht="25.5" customHeight="1">
      <c r="A19" s="1" t="s">
        <v>210</v>
      </c>
      <c r="B19" s="1" t="s">
        <v>223</v>
      </c>
      <c r="C19" s="1" t="s">
        <v>224</v>
      </c>
      <c r="D19" s="1" t="s">
        <v>225</v>
      </c>
      <c r="E19" s="1" t="s">
        <v>226</v>
      </c>
      <c r="F19" s="1" t="s">
        <v>227</v>
      </c>
      <c r="G19" s="1" t="s">
        <v>228</v>
      </c>
      <c r="H19" s="1" t="s">
        <v>229</v>
      </c>
      <c r="I19" s="1" t="s">
        <v>230</v>
      </c>
      <c r="J19" s="78" t="s">
        <v>231</v>
      </c>
      <c r="K19" s="78" t="s">
        <v>231</v>
      </c>
      <c r="L19" s="57">
        <f>G5-A5-C5-E5</f>
        <v>0</v>
      </c>
    </row>
    <row r="20" spans="1:12" ht="22.5" customHeight="1">
      <c r="A20" s="31">
        <v>1</v>
      </c>
      <c r="B20" s="31">
        <f>'WBS - Updated Product Backlog'!$H$63</f>
        <v>62</v>
      </c>
      <c r="C20" s="31">
        <f>B20</f>
        <v>62</v>
      </c>
      <c r="D20" s="31">
        <f>G10</f>
        <v>70</v>
      </c>
      <c r="E20" s="31">
        <f>C20-D20</f>
        <v>-8</v>
      </c>
      <c r="F20" s="31">
        <f t="shared" ref="F20:G24" si="0">C20/$J$5*$G$5</f>
        <v>44434.514285714286</v>
      </c>
      <c r="G20" s="31">
        <f t="shared" si="0"/>
        <v>50168</v>
      </c>
      <c r="H20" s="31">
        <f>F20-G20</f>
        <v>-5733.4857142857145</v>
      </c>
      <c r="I20" s="54" t="str">
        <f>IF(E20=0,"On Schedule",IF(E20&lt;0,"Behind Schedule","Ahead of Schedule"))</f>
        <v>Behind Schedule</v>
      </c>
      <c r="J20" s="78" t="s">
        <v>232</v>
      </c>
      <c r="K20" s="78" t="s">
        <v>232</v>
      </c>
      <c r="L20" s="57">
        <f>'WBS - Updated Product Backlog'!$Q$63</f>
        <v>0</v>
      </c>
    </row>
    <row r="21" spans="1:12" ht="22.5" customHeight="1">
      <c r="A21" s="31">
        <v>2</v>
      </c>
      <c r="B21" s="31">
        <f>'WBS - Updated Product Backlog'!$J$63</f>
        <v>68</v>
      </c>
      <c r="C21" s="31">
        <f>C20+B21</f>
        <v>130</v>
      </c>
      <c r="D21" s="31">
        <f>D20+G11</f>
        <v>140</v>
      </c>
      <c r="E21" s="31">
        <f>C21-D21</f>
        <v>-10</v>
      </c>
      <c r="F21" s="31">
        <f t="shared" si="0"/>
        <v>93169.142857142855</v>
      </c>
      <c r="G21" s="31">
        <f t="shared" si="0"/>
        <v>100336</v>
      </c>
      <c r="H21" s="31">
        <f>F21-G21</f>
        <v>-7166.8571428571449</v>
      </c>
      <c r="I21" s="54" t="str">
        <f>IF(E21=0,"On Schedule",IF(E21&lt;0,"Behind Schedule","Ahead of Schedule"))</f>
        <v>Behind Schedule</v>
      </c>
      <c r="J21" s="78" t="s">
        <v>233</v>
      </c>
      <c r="K21" s="78" t="s">
        <v>233</v>
      </c>
      <c r="L21" s="57">
        <f>H15-G5</f>
        <v>0</v>
      </c>
    </row>
    <row r="22" spans="1:12" ht="22.5" customHeight="1">
      <c r="A22" s="31">
        <v>3</v>
      </c>
      <c r="B22" s="31">
        <f>'WBS - Updated Product Backlog'!$L$63</f>
        <v>80</v>
      </c>
      <c r="C22" s="31">
        <f>C21+B22</f>
        <v>210</v>
      </c>
      <c r="D22" s="31">
        <f>D21+G12</f>
        <v>210</v>
      </c>
      <c r="E22" s="31">
        <f>C22-D22</f>
        <v>0</v>
      </c>
      <c r="F22" s="31">
        <f t="shared" si="0"/>
        <v>150504</v>
      </c>
      <c r="G22" s="31">
        <f t="shared" si="0"/>
        <v>150504</v>
      </c>
      <c r="H22" s="31">
        <f>F22-G22</f>
        <v>0</v>
      </c>
      <c r="I22" s="54" t="str">
        <f>IF(E22=0,"On Schedule",IF(E22&lt;0,"Behind Schedule","Ahead of Schedule"))</f>
        <v>On Schedule</v>
      </c>
      <c r="J22" s="78" t="s">
        <v>234</v>
      </c>
      <c r="K22" s="78" t="s">
        <v>234</v>
      </c>
      <c r="L22" s="57">
        <f>G15-J5</f>
        <v>0</v>
      </c>
    </row>
    <row r="23" spans="1:12" ht="22.5" customHeight="1">
      <c r="A23" s="31">
        <v>4</v>
      </c>
      <c r="B23" s="31">
        <f>'WBS - Updated Product Backlog'!$N$63</f>
        <v>70</v>
      </c>
      <c r="C23" s="31">
        <f>C22+B23</f>
        <v>280</v>
      </c>
      <c r="D23" s="31">
        <f>D22+G13</f>
        <v>280</v>
      </c>
      <c r="E23" s="31">
        <f>C23-D23</f>
        <v>0</v>
      </c>
      <c r="F23" s="31">
        <f t="shared" si="0"/>
        <v>200672</v>
      </c>
      <c r="G23" s="31">
        <f t="shared" si="0"/>
        <v>200672</v>
      </c>
      <c r="H23" s="31">
        <f>F23-G23</f>
        <v>0</v>
      </c>
      <c r="I23" s="54" t="str">
        <f>IF(E23=0,"On Schedule",IF(E23&lt;0,"Behind Schedule","Ahead of Schedule"))</f>
        <v>On Schedule</v>
      </c>
      <c r="J23" s="78" t="s">
        <v>235</v>
      </c>
      <c r="K23" s="78" t="s">
        <v>235</v>
      </c>
      <c r="L23" s="57">
        <f>SUM(B20:B24)-J5</f>
        <v>0</v>
      </c>
    </row>
    <row r="24" spans="1:12" ht="22.5" customHeight="1">
      <c r="A24" s="31">
        <v>5</v>
      </c>
      <c r="B24" s="31">
        <f>'WBS - Updated Product Backlog'!$P$63</f>
        <v>70</v>
      </c>
      <c r="C24" s="31">
        <f>C23+B24</f>
        <v>350</v>
      </c>
      <c r="D24" s="31">
        <f>D23+G14</f>
        <v>350</v>
      </c>
      <c r="E24" s="31">
        <f>C24-D24</f>
        <v>0</v>
      </c>
      <c r="F24" s="31">
        <f t="shared" si="0"/>
        <v>250840</v>
      </c>
      <c r="G24" s="31">
        <f t="shared" si="0"/>
        <v>250840</v>
      </c>
      <c r="H24" s="31">
        <f>F24-G24</f>
        <v>0</v>
      </c>
      <c r="I24" s="54" t="str">
        <f>IF(E24=0,"On Schedule",IF(E24&lt;0,"Behind Schedule","Ahead of Schedule"))</f>
        <v>On Schedule</v>
      </c>
      <c r="J24" s="78" t="s">
        <v>236</v>
      </c>
      <c r="K24" s="78" t="s">
        <v>236</v>
      </c>
      <c r="L24" s="57">
        <f>E24</f>
        <v>0</v>
      </c>
    </row>
    <row r="25" spans="1:12" ht="22.5" customHeight="1">
      <c r="J25" s="78" t="s">
        <v>237</v>
      </c>
      <c r="K25" s="78" t="s">
        <v>237</v>
      </c>
      <c r="L25" s="57">
        <f>COUNTIF(I20:I24,"Behind Schedule")-2</f>
        <v>0</v>
      </c>
    </row>
    <row r="26" spans="1:12" ht="22.5" customHeight="1">
      <c r="J26" s="78" t="s">
        <v>238</v>
      </c>
      <c r="K26" s="78" t="s">
        <v>238</v>
      </c>
      <c r="L26" s="57">
        <f>COUNTIF(I20:I24,"On Schedule")-3</f>
        <v>0</v>
      </c>
    </row>
  </sheetData>
  <mergeCells count="31">
    <mergeCell ref="J22:K22"/>
    <mergeCell ref="J23:K23"/>
    <mergeCell ref="J24:K24"/>
    <mergeCell ref="J25:K25"/>
    <mergeCell ref="J26:K26"/>
    <mergeCell ref="A18:I18"/>
    <mergeCell ref="J18:L18"/>
    <mergeCell ref="J19:K19"/>
    <mergeCell ref="J20:K20"/>
    <mergeCell ref="J21:K21"/>
    <mergeCell ref="A8:B8"/>
    <mergeCell ref="D8:H8"/>
    <mergeCell ref="J8:L8"/>
    <mergeCell ref="J9:K9"/>
    <mergeCell ref="D15:F15"/>
    <mergeCell ref="J10:K10"/>
    <mergeCell ref="J11:K11"/>
    <mergeCell ref="J12:K12"/>
    <mergeCell ref="J13:K13"/>
    <mergeCell ref="A1:L1"/>
    <mergeCell ref="A2:L2"/>
    <mergeCell ref="A4:B4"/>
    <mergeCell ref="A5:B5"/>
    <mergeCell ref="C4:D4"/>
    <mergeCell ref="C5:D5"/>
    <mergeCell ref="E4:F4"/>
    <mergeCell ref="E5:F5"/>
    <mergeCell ref="G4:I4"/>
    <mergeCell ref="G5:I5"/>
    <mergeCell ref="J4:L4"/>
    <mergeCell ref="J5:L5"/>
  </mergeCells>
  <conditionalFormatting sqref="E20:E24">
    <cfRule type="cellIs" dxfId="3" priority="1" operator="lessThan">
      <formula>0</formula>
    </cfRule>
    <cfRule type="cellIs" dxfId="2" priority="2" operator="equal">
      <formula>0</formula>
    </cfRule>
  </conditionalFormatting>
  <conditionalFormatting sqref="I20:I24">
    <cfRule type="containsText" dxfId="1" priority="3" operator="containsText" text="Behind Schedule"/>
    <cfRule type="containsText" dxfId="0" priority="4" operator="containsText" text="On Schedule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showGridLines="0" topLeftCell="A7" workbookViewId="0">
      <selection activeCell="I13" sqref="I13"/>
    </sheetView>
  </sheetViews>
  <sheetFormatPr defaultRowHeight="14.25"/>
  <cols>
    <col min="1" max="1" width="20.5" customWidth="1"/>
    <col min="2" max="2" width="24.5" customWidth="1"/>
    <col min="3" max="3" width="8.625" customWidth="1"/>
    <col min="4" max="4" width="11.625" customWidth="1"/>
    <col min="5" max="5" width="36.125" customWidth="1"/>
    <col min="6" max="6" width="2.5" customWidth="1"/>
    <col min="7" max="7" width="20" customWidth="1"/>
    <col min="8" max="8" width="24.5" customWidth="1"/>
    <col min="9" max="9" width="11.125" customWidth="1"/>
    <col min="10" max="10" width="9.75" customWidth="1"/>
    <col min="11" max="11" width="13.125" customWidth="1"/>
  </cols>
  <sheetData>
    <row r="1" spans="1:11" ht="25.5" customHeight="1">
      <c r="A1" s="70" t="s">
        <v>239</v>
      </c>
      <c r="B1" s="70" t="s">
        <v>239</v>
      </c>
      <c r="C1" s="70" t="s">
        <v>239</v>
      </c>
      <c r="D1" s="70" t="s">
        <v>239</v>
      </c>
      <c r="E1" s="70" t="s">
        <v>239</v>
      </c>
      <c r="F1" s="70" t="s">
        <v>239</v>
      </c>
      <c r="G1" s="70" t="s">
        <v>239</v>
      </c>
      <c r="H1" s="70" t="s">
        <v>239</v>
      </c>
      <c r="I1" s="70" t="s">
        <v>239</v>
      </c>
      <c r="J1" s="70" t="s">
        <v>239</v>
      </c>
      <c r="K1" s="70" t="s">
        <v>239</v>
      </c>
    </row>
    <row r="2" spans="1:11" ht="22.5" customHeight="1">
      <c r="A2" s="71" t="s">
        <v>240</v>
      </c>
      <c r="B2" s="71" t="s">
        <v>240</v>
      </c>
      <c r="C2" s="71" t="s">
        <v>240</v>
      </c>
      <c r="D2" s="71" t="s">
        <v>240</v>
      </c>
      <c r="E2" s="71" t="s">
        <v>240</v>
      </c>
      <c r="F2" s="71" t="s">
        <v>240</v>
      </c>
      <c r="G2" s="71" t="s">
        <v>240</v>
      </c>
      <c r="H2" s="71" t="s">
        <v>240</v>
      </c>
      <c r="I2" s="71" t="s">
        <v>240</v>
      </c>
      <c r="J2" s="71" t="s">
        <v>240</v>
      </c>
      <c r="K2" s="71" t="s">
        <v>240</v>
      </c>
    </row>
    <row r="4" spans="1:11" ht="21" customHeight="1">
      <c r="A4" s="70" t="s">
        <v>241</v>
      </c>
      <c r="B4" s="70" t="s">
        <v>241</v>
      </c>
      <c r="D4" s="62" t="s">
        <v>242</v>
      </c>
      <c r="E4" s="62" t="s">
        <v>242</v>
      </c>
      <c r="G4" s="1" t="s">
        <v>165</v>
      </c>
      <c r="H4" s="1" t="s">
        <v>243</v>
      </c>
      <c r="I4" s="1" t="s">
        <v>166</v>
      </c>
      <c r="J4" s="1" t="s">
        <v>244</v>
      </c>
      <c r="K4" s="1" t="s">
        <v>245</v>
      </c>
    </row>
    <row r="5" spans="1:11" ht="30" customHeight="1">
      <c r="A5" s="9" t="s">
        <v>246</v>
      </c>
      <c r="B5" s="10" t="s">
        <v>247</v>
      </c>
      <c r="D5" s="14" t="s">
        <v>178</v>
      </c>
      <c r="E5" s="15">
        <v>0.7</v>
      </c>
      <c r="G5" s="85" t="s">
        <v>379</v>
      </c>
      <c r="H5" s="14" t="s">
        <v>248</v>
      </c>
      <c r="I5" s="16" t="s">
        <v>172</v>
      </c>
      <c r="J5" s="17">
        <f>SUMIF($D$5:$D$8,I5,$E$5:$E$8)</f>
        <v>2</v>
      </c>
      <c r="K5" s="18">
        <f>J5*$B$12</f>
        <v>4000</v>
      </c>
    </row>
    <row r="6" spans="1:11" ht="30" customHeight="1">
      <c r="A6" s="9" t="s">
        <v>249</v>
      </c>
      <c r="B6" s="11">
        <v>46230</v>
      </c>
      <c r="D6" s="14" t="s">
        <v>176</v>
      </c>
      <c r="E6" s="15">
        <v>1</v>
      </c>
      <c r="G6" s="85" t="s">
        <v>380</v>
      </c>
      <c r="H6" s="14" t="s">
        <v>250</v>
      </c>
      <c r="I6" s="16" t="s">
        <v>174</v>
      </c>
      <c r="J6" s="17">
        <f>SUMIF($D$5:$D$8,I6,$E$5:$E$8)</f>
        <v>1.3</v>
      </c>
      <c r="K6" s="18">
        <f>J6*$B$12</f>
        <v>2600</v>
      </c>
    </row>
    <row r="7" spans="1:11" ht="30" customHeight="1">
      <c r="A7" s="9" t="s">
        <v>251</v>
      </c>
      <c r="B7" s="12">
        <v>70</v>
      </c>
      <c r="D7" s="14" t="s">
        <v>174</v>
      </c>
      <c r="E7" s="15">
        <v>1.3</v>
      </c>
      <c r="G7" s="85" t="s">
        <v>381</v>
      </c>
      <c r="H7" s="14" t="s">
        <v>252</v>
      </c>
      <c r="I7" s="16" t="s">
        <v>176</v>
      </c>
      <c r="J7" s="17">
        <f>SUMIF($D$5:$D$8,I7,$E$5:$E$8)</f>
        <v>1</v>
      </c>
      <c r="K7" s="18">
        <f>J7*$B$12</f>
        <v>2000</v>
      </c>
    </row>
    <row r="8" spans="1:11" ht="30" customHeight="1">
      <c r="A8" s="9" t="s">
        <v>253</v>
      </c>
      <c r="B8" s="13">
        <f>B6+B7-1</f>
        <v>46299</v>
      </c>
      <c r="D8" s="14" t="s">
        <v>172</v>
      </c>
      <c r="E8" s="15">
        <v>2</v>
      </c>
      <c r="G8" s="85" t="s">
        <v>382</v>
      </c>
      <c r="H8" s="14" t="s">
        <v>254</v>
      </c>
      <c r="I8" s="16" t="s">
        <v>178</v>
      </c>
      <c r="J8" s="17">
        <f>SUMIF($D$5:$D$8,I8,$E$5:$E$8)</f>
        <v>0.7</v>
      </c>
      <c r="K8" s="18">
        <f>J8*$B$12</f>
        <v>1400</v>
      </c>
    </row>
    <row r="9" spans="1:11" ht="30" customHeight="1">
      <c r="A9" s="9" t="s">
        <v>255</v>
      </c>
      <c r="B9" s="12">
        <v>5</v>
      </c>
      <c r="G9" s="85" t="s">
        <v>383</v>
      </c>
      <c r="H9" s="14" t="s">
        <v>256</v>
      </c>
      <c r="I9" s="16" t="s">
        <v>176</v>
      </c>
      <c r="J9" s="17">
        <f>SUMIF($D$5:$D$8,I9,$E$5:$E$8)</f>
        <v>1</v>
      </c>
      <c r="K9" s="18">
        <f>J9*$B$12</f>
        <v>2000</v>
      </c>
    </row>
    <row r="10" spans="1:11" ht="30" customHeight="1">
      <c r="A10" s="9" t="s">
        <v>257</v>
      </c>
      <c r="B10" s="12">
        <v>14</v>
      </c>
    </row>
    <row r="11" spans="1:11" ht="30" customHeight="1">
      <c r="A11" s="9" t="s">
        <v>258</v>
      </c>
      <c r="B11" s="12">
        <v>10</v>
      </c>
    </row>
    <row r="12" spans="1:11" ht="30" customHeight="1">
      <c r="A12" s="9" t="s">
        <v>259</v>
      </c>
      <c r="B12" s="12">
        <v>2000</v>
      </c>
    </row>
    <row r="13" spans="1:11" ht="30" customHeight="1">
      <c r="A13" s="9" t="s">
        <v>260</v>
      </c>
      <c r="B13" s="10" t="s">
        <v>216</v>
      </c>
    </row>
    <row r="15" spans="1:11" ht="22.5" customHeight="1">
      <c r="A15" s="70" t="s">
        <v>261</v>
      </c>
      <c r="B15" s="70" t="s">
        <v>261</v>
      </c>
      <c r="C15" s="70" t="s">
        <v>261</v>
      </c>
      <c r="D15" s="70" t="s">
        <v>261</v>
      </c>
      <c r="E15" s="70" t="s">
        <v>261</v>
      </c>
      <c r="G15" s="70" t="s">
        <v>262</v>
      </c>
      <c r="H15" s="70" t="s">
        <v>262</v>
      </c>
      <c r="I15" s="70" t="s">
        <v>262</v>
      </c>
      <c r="J15" s="70" t="s">
        <v>262</v>
      </c>
      <c r="K15" s="70" t="s">
        <v>262</v>
      </c>
    </row>
    <row r="16" spans="1:11" ht="22.5" customHeight="1">
      <c r="A16" s="1" t="s">
        <v>2</v>
      </c>
      <c r="B16" s="1" t="s">
        <v>263</v>
      </c>
      <c r="C16" s="1" t="s">
        <v>5</v>
      </c>
      <c r="D16" s="1" t="s">
        <v>264</v>
      </c>
      <c r="E16" s="1" t="s">
        <v>265</v>
      </c>
      <c r="G16" s="1" t="s">
        <v>266</v>
      </c>
      <c r="H16" s="62" t="s">
        <v>267</v>
      </c>
      <c r="I16" s="62" t="s">
        <v>267</v>
      </c>
      <c r="J16" s="62" t="s">
        <v>267</v>
      </c>
      <c r="K16" s="62" t="s">
        <v>267</v>
      </c>
    </row>
    <row r="17" spans="1:11" ht="34.5" customHeight="1">
      <c r="A17" s="19" t="s">
        <v>268</v>
      </c>
      <c r="B17" s="21" t="s">
        <v>269</v>
      </c>
      <c r="C17" s="4">
        <v>5</v>
      </c>
      <c r="D17" s="20">
        <v>8000</v>
      </c>
      <c r="E17" s="21" t="s">
        <v>270</v>
      </c>
      <c r="G17" s="24">
        <v>4</v>
      </c>
      <c r="H17" s="80" t="s">
        <v>271</v>
      </c>
      <c r="I17" s="80" t="s">
        <v>271</v>
      </c>
      <c r="J17" s="80" t="s">
        <v>271</v>
      </c>
      <c r="K17" s="80" t="s">
        <v>271</v>
      </c>
    </row>
    <row r="18" spans="1:11" ht="34.5" customHeight="1">
      <c r="A18" s="19" t="s">
        <v>272</v>
      </c>
      <c r="B18" s="21" t="s">
        <v>273</v>
      </c>
      <c r="C18" s="4">
        <v>2</v>
      </c>
      <c r="D18" s="20">
        <v>6000</v>
      </c>
      <c r="E18" s="21" t="s">
        <v>274</v>
      </c>
      <c r="G18" s="24">
        <v>5</v>
      </c>
      <c r="H18" s="80" t="s">
        <v>275</v>
      </c>
      <c r="I18" s="80" t="s">
        <v>275</v>
      </c>
      <c r="J18" s="80" t="s">
        <v>275</v>
      </c>
      <c r="K18" s="80" t="s">
        <v>275</v>
      </c>
    </row>
    <row r="19" spans="1:11" ht="34.5" customHeight="1">
      <c r="A19" s="19" t="s">
        <v>276</v>
      </c>
      <c r="B19" s="21" t="s">
        <v>277</v>
      </c>
      <c r="C19" s="4">
        <v>5</v>
      </c>
      <c r="D19" s="20">
        <v>2500</v>
      </c>
      <c r="E19" s="21" t="s">
        <v>278</v>
      </c>
      <c r="G19" s="24">
        <v>6</v>
      </c>
      <c r="H19" s="80" t="s">
        <v>279</v>
      </c>
      <c r="I19" s="80" t="s">
        <v>279</v>
      </c>
      <c r="J19" s="80" t="s">
        <v>279</v>
      </c>
      <c r="K19" s="80" t="s">
        <v>279</v>
      </c>
    </row>
    <row r="20" spans="1:11" ht="34.5" customHeight="1">
      <c r="A20" s="19" t="s">
        <v>280</v>
      </c>
      <c r="B20" s="21" t="s">
        <v>281</v>
      </c>
      <c r="C20" s="4">
        <v>5</v>
      </c>
      <c r="D20" s="20">
        <v>4000</v>
      </c>
      <c r="E20" s="21" t="s">
        <v>282</v>
      </c>
      <c r="G20" s="24">
        <v>7</v>
      </c>
      <c r="H20" s="80" t="s">
        <v>283</v>
      </c>
      <c r="I20" s="80" t="s">
        <v>283</v>
      </c>
      <c r="J20" s="80" t="s">
        <v>283</v>
      </c>
      <c r="K20" s="80" t="s">
        <v>283</v>
      </c>
    </row>
    <row r="21" spans="1:11" ht="34.5" customHeight="1">
      <c r="A21" s="19" t="s">
        <v>284</v>
      </c>
      <c r="B21" s="21" t="s">
        <v>285</v>
      </c>
      <c r="C21" s="4">
        <v>5</v>
      </c>
      <c r="D21" s="20">
        <v>2500</v>
      </c>
      <c r="E21" s="21" t="s">
        <v>286</v>
      </c>
      <c r="G21" s="24">
        <v>8</v>
      </c>
      <c r="H21" s="80" t="s">
        <v>287</v>
      </c>
      <c r="I21" s="80" t="s">
        <v>287</v>
      </c>
      <c r="J21" s="80" t="s">
        <v>287</v>
      </c>
      <c r="K21" s="80" t="s">
        <v>287</v>
      </c>
    </row>
    <row r="22" spans="1:11" ht="34.5" customHeight="1">
      <c r="A22" s="79" t="s">
        <v>288</v>
      </c>
      <c r="B22" s="79" t="s">
        <v>288</v>
      </c>
      <c r="C22" s="79" t="s">
        <v>288</v>
      </c>
      <c r="D22" s="23">
        <f>SUM(D17:D21)</f>
        <v>23000</v>
      </c>
      <c r="E22" s="22" t="s">
        <v>289</v>
      </c>
      <c r="G22" s="24">
        <v>9</v>
      </c>
      <c r="H22" s="80" t="s">
        <v>290</v>
      </c>
      <c r="I22" s="80" t="s">
        <v>290</v>
      </c>
      <c r="J22" s="80" t="s">
        <v>290</v>
      </c>
      <c r="K22" s="80" t="s">
        <v>290</v>
      </c>
    </row>
    <row r="24" spans="1:11" ht="21" customHeight="1">
      <c r="A24" s="70" t="s">
        <v>291</v>
      </c>
      <c r="B24" s="70" t="s">
        <v>291</v>
      </c>
      <c r="C24" s="70" t="s">
        <v>291</v>
      </c>
      <c r="D24" s="70" t="s">
        <v>291</v>
      </c>
      <c r="E24" s="70" t="s">
        <v>291</v>
      </c>
      <c r="F24" s="70" t="s">
        <v>291</v>
      </c>
      <c r="G24" s="70" t="s">
        <v>291</v>
      </c>
      <c r="H24" s="70" t="s">
        <v>291</v>
      </c>
      <c r="I24" s="70" t="s">
        <v>291</v>
      </c>
      <c r="J24" s="70" t="s">
        <v>291</v>
      </c>
      <c r="K24" s="70" t="s">
        <v>291</v>
      </c>
    </row>
    <row r="25" spans="1:11" ht="28.5" customHeight="1">
      <c r="A25" s="81" t="s">
        <v>292</v>
      </c>
      <c r="B25" s="81" t="s">
        <v>292</v>
      </c>
      <c r="C25" s="77" t="s">
        <v>293</v>
      </c>
      <c r="D25" s="77" t="s">
        <v>293</v>
      </c>
      <c r="E25" s="77" t="s">
        <v>293</v>
      </c>
      <c r="F25" s="77" t="s">
        <v>293</v>
      </c>
      <c r="G25" s="77" t="s">
        <v>293</v>
      </c>
      <c r="H25" s="77" t="s">
        <v>293</v>
      </c>
      <c r="I25" s="77" t="s">
        <v>293</v>
      </c>
      <c r="J25" s="77" t="s">
        <v>293</v>
      </c>
      <c r="K25" s="77" t="s">
        <v>293</v>
      </c>
    </row>
    <row r="26" spans="1:11" ht="28.5" customHeight="1">
      <c r="A26" s="81" t="s">
        <v>294</v>
      </c>
      <c r="B26" s="81" t="s">
        <v>294</v>
      </c>
      <c r="C26" s="77" t="s">
        <v>295</v>
      </c>
      <c r="D26" s="77" t="s">
        <v>295</v>
      </c>
      <c r="E26" s="77" t="s">
        <v>295</v>
      </c>
      <c r="F26" s="77" t="s">
        <v>295</v>
      </c>
      <c r="G26" s="77" t="s">
        <v>295</v>
      </c>
      <c r="H26" s="77" t="s">
        <v>295</v>
      </c>
      <c r="I26" s="77" t="s">
        <v>295</v>
      </c>
      <c r="J26" s="77" t="s">
        <v>295</v>
      </c>
      <c r="K26" s="77" t="s">
        <v>295</v>
      </c>
    </row>
    <row r="27" spans="1:11" ht="28.5" customHeight="1">
      <c r="A27" s="81" t="s">
        <v>296</v>
      </c>
      <c r="B27" s="81" t="s">
        <v>296</v>
      </c>
      <c r="C27" s="77" t="s">
        <v>297</v>
      </c>
      <c r="D27" s="77" t="s">
        <v>297</v>
      </c>
      <c r="E27" s="77" t="s">
        <v>297</v>
      </c>
      <c r="F27" s="77" t="s">
        <v>297</v>
      </c>
      <c r="G27" s="77" t="s">
        <v>297</v>
      </c>
      <c r="H27" s="77" t="s">
        <v>297</v>
      </c>
      <c r="I27" s="77" t="s">
        <v>297</v>
      </c>
      <c r="J27" s="77" t="s">
        <v>297</v>
      </c>
      <c r="K27" s="77" t="s">
        <v>297</v>
      </c>
    </row>
    <row r="28" spans="1:11" ht="28.5" customHeight="1">
      <c r="A28" s="81" t="s">
        <v>298</v>
      </c>
      <c r="B28" s="81" t="s">
        <v>298</v>
      </c>
      <c r="C28" s="77" t="s">
        <v>299</v>
      </c>
      <c r="D28" s="77" t="s">
        <v>299</v>
      </c>
      <c r="E28" s="77" t="s">
        <v>299</v>
      </c>
      <c r="F28" s="77" t="s">
        <v>299</v>
      </c>
      <c r="G28" s="77" t="s">
        <v>299</v>
      </c>
      <c r="H28" s="77" t="s">
        <v>299</v>
      </c>
      <c r="I28" s="77" t="s">
        <v>299</v>
      </c>
      <c r="J28" s="77" t="s">
        <v>299</v>
      </c>
      <c r="K28" s="77" t="s">
        <v>299</v>
      </c>
    </row>
    <row r="29" spans="1:11" ht="28.5" customHeight="1">
      <c r="A29" s="81" t="s">
        <v>300</v>
      </c>
      <c r="B29" s="81" t="s">
        <v>300</v>
      </c>
      <c r="C29" s="77" t="s">
        <v>301</v>
      </c>
      <c r="D29" s="77" t="s">
        <v>301</v>
      </c>
      <c r="E29" s="77" t="s">
        <v>301</v>
      </c>
      <c r="F29" s="77" t="s">
        <v>301</v>
      </c>
      <c r="G29" s="77" t="s">
        <v>301</v>
      </c>
      <c r="H29" s="77" t="s">
        <v>301</v>
      </c>
      <c r="I29" s="77" t="s">
        <v>301</v>
      </c>
      <c r="J29" s="77" t="s">
        <v>301</v>
      </c>
      <c r="K29" s="77" t="s">
        <v>301</v>
      </c>
    </row>
    <row r="30" spans="1:11" ht="28.5" customHeight="1">
      <c r="A30" s="81" t="s">
        <v>302</v>
      </c>
      <c r="B30" s="81" t="s">
        <v>302</v>
      </c>
      <c r="C30" s="77" t="s">
        <v>303</v>
      </c>
      <c r="D30" s="77" t="s">
        <v>303</v>
      </c>
      <c r="E30" s="77" t="s">
        <v>303</v>
      </c>
      <c r="F30" s="77" t="s">
        <v>303</v>
      </c>
      <c r="G30" s="77" t="s">
        <v>303</v>
      </c>
      <c r="H30" s="77" t="s">
        <v>303</v>
      </c>
      <c r="I30" s="77" t="s">
        <v>303</v>
      </c>
      <c r="J30" s="77" t="s">
        <v>303</v>
      </c>
      <c r="K30" s="77" t="s">
        <v>303</v>
      </c>
    </row>
    <row r="31" spans="1:11" ht="28.5" customHeight="1">
      <c r="A31" s="82" t="s">
        <v>304</v>
      </c>
      <c r="B31" s="82" t="s">
        <v>304</v>
      </c>
      <c r="C31" s="83" t="s">
        <v>305</v>
      </c>
      <c r="D31" s="83" t="s">
        <v>305</v>
      </c>
      <c r="E31" s="83" t="s">
        <v>305</v>
      </c>
      <c r="F31" s="83" t="s">
        <v>305</v>
      </c>
      <c r="G31" s="83" t="s">
        <v>305</v>
      </c>
      <c r="H31" s="83" t="s">
        <v>305</v>
      </c>
      <c r="I31" s="83" t="s">
        <v>305</v>
      </c>
      <c r="J31" s="83" t="s">
        <v>305</v>
      </c>
      <c r="K31" s="83" t="s">
        <v>305</v>
      </c>
    </row>
  </sheetData>
  <mergeCells count="29">
    <mergeCell ref="A30:B30"/>
    <mergeCell ref="C30:K30"/>
    <mergeCell ref="A31:B31"/>
    <mergeCell ref="C31:K31"/>
    <mergeCell ref="A27:B27"/>
    <mergeCell ref="C27:K27"/>
    <mergeCell ref="A28:B28"/>
    <mergeCell ref="C28:K28"/>
    <mergeCell ref="A29:B29"/>
    <mergeCell ref="C29:K29"/>
    <mergeCell ref="A24:K24"/>
    <mergeCell ref="A25:B25"/>
    <mergeCell ref="C25:K25"/>
    <mergeCell ref="A26:B26"/>
    <mergeCell ref="C26:K26"/>
    <mergeCell ref="A22:C22"/>
    <mergeCell ref="G15:K15"/>
    <mergeCell ref="H16:K16"/>
    <mergeCell ref="H17:K17"/>
    <mergeCell ref="H18:K18"/>
    <mergeCell ref="H19:K19"/>
    <mergeCell ref="H20:K20"/>
    <mergeCell ref="H21:K21"/>
    <mergeCell ref="H22:K22"/>
    <mergeCell ref="A1:K1"/>
    <mergeCell ref="A2:K2"/>
    <mergeCell ref="A4:B4"/>
    <mergeCell ref="D4:E4"/>
    <mergeCell ref="A15:E15"/>
  </mergeCells>
  <dataValidations count="2">
    <dataValidation type="list" sqref="I5:I9" xr:uid="{00000000-0002-0000-0300-000000000000}">
      <formula1>"Junior,Mid,Senior,Lead"</formula1>
    </dataValidation>
    <dataValidation type="whole" sqref="C17:C21" xr:uid="{00000000-0002-0000-0300-000001000000}">
      <formula1>1</formula1>
      <formula2>5</formula2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showGridLines="0" workbookViewId="0">
      <selection activeCell="K11" sqref="K11"/>
    </sheetView>
  </sheetViews>
  <sheetFormatPr defaultRowHeight="14.25"/>
  <cols>
    <col min="1" max="1" width="5.375" customWidth="1"/>
    <col min="2" max="2" width="12.5" customWidth="1"/>
    <col min="3" max="3" width="33.375" customWidth="1"/>
    <col min="4" max="4" width="21.625" customWidth="1"/>
    <col min="5" max="5" width="10.875" customWidth="1"/>
    <col min="6" max="6" width="9.375" customWidth="1"/>
    <col min="7" max="7" width="12.25" customWidth="1"/>
    <col min="8" max="8" width="9.75" customWidth="1"/>
    <col min="9" max="9" width="11.625" customWidth="1"/>
    <col min="10" max="10" width="38.875" customWidth="1"/>
    <col min="11" max="11" width="13.375" customWidth="1"/>
    <col min="12" max="12" width="15.375" customWidth="1"/>
  </cols>
  <sheetData>
    <row r="1" spans="1:12" ht="25.5" customHeight="1">
      <c r="A1" s="70" t="s">
        <v>306</v>
      </c>
      <c r="B1" s="70" t="s">
        <v>306</v>
      </c>
      <c r="C1" s="70" t="s">
        <v>306</v>
      </c>
      <c r="D1" s="70" t="s">
        <v>306</v>
      </c>
      <c r="E1" s="70" t="s">
        <v>306</v>
      </c>
      <c r="F1" s="70" t="s">
        <v>306</v>
      </c>
      <c r="G1" s="70" t="s">
        <v>306</v>
      </c>
      <c r="H1" s="70" t="s">
        <v>306</v>
      </c>
      <c r="I1" s="70" t="s">
        <v>306</v>
      </c>
      <c r="J1" s="70" t="s">
        <v>306</v>
      </c>
      <c r="K1" s="70" t="s">
        <v>306</v>
      </c>
      <c r="L1" s="70" t="s">
        <v>306</v>
      </c>
    </row>
    <row r="2" spans="1:12" ht="22.5" customHeight="1">
      <c r="A2" s="71" t="s">
        <v>307</v>
      </c>
      <c r="B2" s="71" t="s">
        <v>307</v>
      </c>
      <c r="C2" s="71" t="s">
        <v>307</v>
      </c>
      <c r="D2" s="71" t="s">
        <v>307</v>
      </c>
      <c r="E2" s="71" t="s">
        <v>307</v>
      </c>
      <c r="F2" s="71" t="s">
        <v>307</v>
      </c>
      <c r="G2" s="71" t="s">
        <v>307</v>
      </c>
      <c r="H2" s="71" t="s">
        <v>307</v>
      </c>
      <c r="I2" s="71" t="s">
        <v>307</v>
      </c>
      <c r="J2" s="71" t="s">
        <v>307</v>
      </c>
      <c r="K2" s="71" t="s">
        <v>307</v>
      </c>
      <c r="L2" s="71" t="s">
        <v>307</v>
      </c>
    </row>
    <row r="4" spans="1:12" ht="21" customHeight="1">
      <c r="A4" s="84" t="s">
        <v>308</v>
      </c>
      <c r="B4" s="84" t="s">
        <v>308</v>
      </c>
      <c r="C4" s="84" t="s">
        <v>308</v>
      </c>
      <c r="D4" s="73" t="s">
        <v>309</v>
      </c>
      <c r="E4" s="73" t="s">
        <v>309</v>
      </c>
      <c r="F4" s="73" t="s">
        <v>309</v>
      </c>
      <c r="G4" s="75" t="s">
        <v>310</v>
      </c>
      <c r="H4" s="75" t="s">
        <v>310</v>
      </c>
      <c r="I4" s="75" t="s">
        <v>310</v>
      </c>
      <c r="J4" s="70" t="s">
        <v>311</v>
      </c>
      <c r="K4" s="70" t="s">
        <v>311</v>
      </c>
      <c r="L4" s="70" t="s">
        <v>311</v>
      </c>
    </row>
    <row r="5" spans="1:12" ht="21" customHeight="1">
      <c r="A5" s="72">
        <f>SUMIF($B$8:$B$20,"Threat",$H$8:$H$20)</f>
        <v>43690</v>
      </c>
      <c r="B5" s="72"/>
      <c r="C5" s="72"/>
      <c r="D5" s="72">
        <f>SUMIF($B$8:$B$20,"Threat",$L$8:$L$20)</f>
        <v>20040</v>
      </c>
      <c r="E5" s="72"/>
      <c r="F5" s="72"/>
      <c r="G5" s="72">
        <f>SUMIF($B$8:$B$20,"Opportunity",$H$8:$H$20)</f>
        <v>22170</v>
      </c>
      <c r="H5" s="72"/>
      <c r="I5" s="72"/>
      <c r="J5" s="72">
        <f>SUMIF($B$8:$B$20,"Opportunity",$L$8:$L$20)</f>
        <v>30230</v>
      </c>
      <c r="K5" s="72"/>
      <c r="L5" s="72"/>
    </row>
    <row r="7" spans="1:12" ht="52.5" customHeight="1">
      <c r="A7" s="1" t="s">
        <v>2</v>
      </c>
      <c r="B7" s="1" t="s">
        <v>312</v>
      </c>
      <c r="C7" s="1" t="s">
        <v>313</v>
      </c>
      <c r="D7" s="1" t="s">
        <v>314</v>
      </c>
      <c r="E7" s="1" t="s">
        <v>315</v>
      </c>
      <c r="F7" s="1" t="s">
        <v>316</v>
      </c>
      <c r="G7" s="1" t="s">
        <v>317</v>
      </c>
      <c r="H7" s="1" t="s">
        <v>318</v>
      </c>
      <c r="I7" s="1" t="s">
        <v>319</v>
      </c>
      <c r="J7" s="1" t="s">
        <v>320</v>
      </c>
      <c r="K7" s="1" t="s">
        <v>321</v>
      </c>
      <c r="L7" s="1" t="s">
        <v>322</v>
      </c>
    </row>
    <row r="8" spans="1:12" ht="43.5" customHeight="1">
      <c r="A8" s="19" t="s">
        <v>323</v>
      </c>
      <c r="B8" s="26" t="s">
        <v>324</v>
      </c>
      <c r="C8" s="21" t="s">
        <v>325</v>
      </c>
      <c r="D8" s="21" t="s">
        <v>326</v>
      </c>
      <c r="E8" s="29">
        <v>2</v>
      </c>
      <c r="F8" s="30">
        <v>0.4</v>
      </c>
      <c r="G8" s="20">
        <v>15800</v>
      </c>
      <c r="H8" s="31">
        <f t="shared" ref="H8:H20" si="0">F8*G8</f>
        <v>6320</v>
      </c>
      <c r="I8" s="21" t="s">
        <v>327</v>
      </c>
      <c r="J8" s="21" t="s">
        <v>328</v>
      </c>
      <c r="K8" s="30">
        <v>0.2</v>
      </c>
      <c r="L8" s="31">
        <f t="shared" ref="L8:L20" si="1">K8*G8</f>
        <v>3160</v>
      </c>
    </row>
    <row r="9" spans="1:12" ht="43.5" customHeight="1">
      <c r="A9" s="25" t="s">
        <v>329</v>
      </c>
      <c r="B9" s="26" t="s">
        <v>324</v>
      </c>
      <c r="C9" s="28" t="s">
        <v>330</v>
      </c>
      <c r="D9" s="28" t="s">
        <v>331</v>
      </c>
      <c r="E9" s="29">
        <v>1</v>
      </c>
      <c r="F9" s="30">
        <v>0.35</v>
      </c>
      <c r="G9" s="20">
        <v>18600</v>
      </c>
      <c r="H9" s="32">
        <f t="shared" si="0"/>
        <v>6510</v>
      </c>
      <c r="I9" s="28" t="s">
        <v>327</v>
      </c>
      <c r="J9" s="28" t="s">
        <v>332</v>
      </c>
      <c r="K9" s="30">
        <v>0.15</v>
      </c>
      <c r="L9" s="32">
        <f t="shared" si="1"/>
        <v>2790</v>
      </c>
    </row>
    <row r="10" spans="1:12" ht="43.5" customHeight="1">
      <c r="A10" s="19" t="s">
        <v>333</v>
      </c>
      <c r="B10" s="26" t="s">
        <v>324</v>
      </c>
      <c r="C10" s="21" t="s">
        <v>334</v>
      </c>
      <c r="D10" s="21" t="s">
        <v>335</v>
      </c>
      <c r="E10" s="29">
        <v>2</v>
      </c>
      <c r="F10" s="30">
        <v>0.4</v>
      </c>
      <c r="G10" s="20">
        <v>27200</v>
      </c>
      <c r="H10" s="31">
        <f t="shared" si="0"/>
        <v>10880</v>
      </c>
      <c r="I10" s="21" t="s">
        <v>336</v>
      </c>
      <c r="J10" s="21" t="s">
        <v>337</v>
      </c>
      <c r="K10" s="30">
        <v>0.15</v>
      </c>
      <c r="L10" s="31">
        <f t="shared" si="1"/>
        <v>4080</v>
      </c>
    </row>
    <row r="11" spans="1:12" ht="43.5" customHeight="1">
      <c r="A11" s="25" t="s">
        <v>338</v>
      </c>
      <c r="B11" s="26" t="s">
        <v>324</v>
      </c>
      <c r="C11" s="28" t="s">
        <v>339</v>
      </c>
      <c r="D11" s="28" t="s">
        <v>340</v>
      </c>
      <c r="E11" s="29">
        <v>1</v>
      </c>
      <c r="F11" s="30">
        <v>0.45</v>
      </c>
      <c r="G11" s="20">
        <v>10000</v>
      </c>
      <c r="H11" s="32">
        <f t="shared" si="0"/>
        <v>4500</v>
      </c>
      <c r="I11" s="28" t="s">
        <v>327</v>
      </c>
      <c r="J11" s="28" t="s">
        <v>341</v>
      </c>
      <c r="K11" s="30">
        <v>0.25</v>
      </c>
      <c r="L11" s="32">
        <f t="shared" si="1"/>
        <v>2500</v>
      </c>
    </row>
    <row r="12" spans="1:12" ht="43.5" customHeight="1">
      <c r="A12" s="19" t="s">
        <v>342</v>
      </c>
      <c r="B12" s="26" t="s">
        <v>324</v>
      </c>
      <c r="C12" s="21" t="s">
        <v>343</v>
      </c>
      <c r="D12" s="21" t="s">
        <v>344</v>
      </c>
      <c r="E12" s="29">
        <v>5</v>
      </c>
      <c r="F12" s="30">
        <v>0.4</v>
      </c>
      <c r="G12" s="20">
        <v>16000</v>
      </c>
      <c r="H12" s="31">
        <f t="shared" si="0"/>
        <v>6400</v>
      </c>
      <c r="I12" s="21" t="s">
        <v>327</v>
      </c>
      <c r="J12" s="21" t="s">
        <v>345</v>
      </c>
      <c r="K12" s="30">
        <v>0.2</v>
      </c>
      <c r="L12" s="31">
        <f t="shared" si="1"/>
        <v>3200</v>
      </c>
    </row>
    <row r="13" spans="1:12" ht="43.5" customHeight="1">
      <c r="A13" s="25" t="s">
        <v>346</v>
      </c>
      <c r="B13" s="26" t="s">
        <v>324</v>
      </c>
      <c r="C13" s="28" t="s">
        <v>347</v>
      </c>
      <c r="D13" s="28" t="s">
        <v>348</v>
      </c>
      <c r="E13" s="29">
        <v>5</v>
      </c>
      <c r="F13" s="30">
        <v>0.3</v>
      </c>
      <c r="G13" s="20">
        <v>12000</v>
      </c>
      <c r="H13" s="32">
        <f t="shared" si="0"/>
        <v>3600</v>
      </c>
      <c r="I13" s="28" t="s">
        <v>327</v>
      </c>
      <c r="J13" s="28" t="s">
        <v>349</v>
      </c>
      <c r="K13" s="30">
        <v>0.15</v>
      </c>
      <c r="L13" s="32">
        <f t="shared" si="1"/>
        <v>1800</v>
      </c>
    </row>
    <row r="14" spans="1:12" ht="43.5" customHeight="1">
      <c r="A14" s="19" t="s">
        <v>350</v>
      </c>
      <c r="B14" s="26" t="s">
        <v>324</v>
      </c>
      <c r="C14" s="21" t="s">
        <v>351</v>
      </c>
      <c r="D14" s="21" t="s">
        <v>352</v>
      </c>
      <c r="E14" s="29">
        <v>5</v>
      </c>
      <c r="F14" s="30">
        <v>0.25</v>
      </c>
      <c r="G14" s="20">
        <v>9200</v>
      </c>
      <c r="H14" s="31">
        <f t="shared" si="0"/>
        <v>2300</v>
      </c>
      <c r="I14" s="21" t="s">
        <v>327</v>
      </c>
      <c r="J14" s="21" t="s">
        <v>353</v>
      </c>
      <c r="K14" s="30">
        <v>0.1</v>
      </c>
      <c r="L14" s="31">
        <f t="shared" si="1"/>
        <v>920</v>
      </c>
    </row>
    <row r="15" spans="1:12" ht="43.5" customHeight="1">
      <c r="A15" s="25" t="s">
        <v>354</v>
      </c>
      <c r="B15" s="26" t="s">
        <v>324</v>
      </c>
      <c r="C15" s="28" t="s">
        <v>355</v>
      </c>
      <c r="D15" s="28" t="s">
        <v>356</v>
      </c>
      <c r="E15" s="29">
        <v>4</v>
      </c>
      <c r="F15" s="30">
        <v>0.3</v>
      </c>
      <c r="G15" s="20">
        <v>10600</v>
      </c>
      <c r="H15" s="32">
        <f t="shared" si="0"/>
        <v>3180</v>
      </c>
      <c r="I15" s="28" t="s">
        <v>327</v>
      </c>
      <c r="J15" s="28" t="s">
        <v>357</v>
      </c>
      <c r="K15" s="30">
        <v>0.15</v>
      </c>
      <c r="L15" s="32">
        <f t="shared" si="1"/>
        <v>1590</v>
      </c>
    </row>
    <row r="16" spans="1:12" ht="43.5" customHeight="1">
      <c r="A16" s="19" t="s">
        <v>358</v>
      </c>
      <c r="B16" s="27" t="s">
        <v>359</v>
      </c>
      <c r="C16" s="21" t="s">
        <v>360</v>
      </c>
      <c r="D16" s="21" t="s">
        <v>352</v>
      </c>
      <c r="E16" s="29">
        <v>5</v>
      </c>
      <c r="F16" s="30">
        <v>0.6</v>
      </c>
      <c r="G16" s="20">
        <v>8000</v>
      </c>
      <c r="H16" s="31">
        <f t="shared" si="0"/>
        <v>4800</v>
      </c>
      <c r="I16" s="21" t="s">
        <v>361</v>
      </c>
      <c r="J16" s="21" t="s">
        <v>362</v>
      </c>
      <c r="K16" s="30">
        <v>0.8</v>
      </c>
      <c r="L16" s="31">
        <f t="shared" si="1"/>
        <v>6400</v>
      </c>
    </row>
    <row r="17" spans="1:12" ht="43.5" customHeight="1">
      <c r="A17" s="25" t="s">
        <v>363</v>
      </c>
      <c r="B17" s="27" t="s">
        <v>359</v>
      </c>
      <c r="C17" s="28" t="s">
        <v>364</v>
      </c>
      <c r="D17" s="28" t="s">
        <v>365</v>
      </c>
      <c r="E17" s="29">
        <v>2</v>
      </c>
      <c r="F17" s="30">
        <v>0.5</v>
      </c>
      <c r="G17" s="20">
        <v>10600</v>
      </c>
      <c r="H17" s="32">
        <f t="shared" si="0"/>
        <v>5300</v>
      </c>
      <c r="I17" s="28" t="s">
        <v>361</v>
      </c>
      <c r="J17" s="28" t="s">
        <v>366</v>
      </c>
      <c r="K17" s="30">
        <v>0.7</v>
      </c>
      <c r="L17" s="32">
        <f t="shared" si="1"/>
        <v>7419.9999999999991</v>
      </c>
    </row>
    <row r="18" spans="1:12" ht="43.5" customHeight="1">
      <c r="A18" s="19" t="s">
        <v>367</v>
      </c>
      <c r="B18" s="27" t="s">
        <v>359</v>
      </c>
      <c r="C18" s="21" t="s">
        <v>368</v>
      </c>
      <c r="D18" s="21" t="s">
        <v>369</v>
      </c>
      <c r="E18" s="29">
        <v>4</v>
      </c>
      <c r="F18" s="30">
        <v>0.45</v>
      </c>
      <c r="G18" s="20">
        <v>10600</v>
      </c>
      <c r="H18" s="31">
        <f t="shared" si="0"/>
        <v>4770</v>
      </c>
      <c r="I18" s="21" t="s">
        <v>370</v>
      </c>
      <c r="J18" s="21" t="s">
        <v>371</v>
      </c>
      <c r="K18" s="30">
        <v>0.65</v>
      </c>
      <c r="L18" s="31">
        <f t="shared" si="1"/>
        <v>6890</v>
      </c>
    </row>
    <row r="19" spans="1:12" ht="43.5" customHeight="1">
      <c r="A19" s="25" t="s">
        <v>372</v>
      </c>
      <c r="B19" s="27" t="s">
        <v>359</v>
      </c>
      <c r="C19" s="28" t="s">
        <v>373</v>
      </c>
      <c r="D19" s="28" t="s">
        <v>374</v>
      </c>
      <c r="E19" s="29">
        <v>5</v>
      </c>
      <c r="F19" s="30">
        <v>0.5</v>
      </c>
      <c r="G19" s="20">
        <v>6800</v>
      </c>
      <c r="H19" s="32">
        <f t="shared" si="0"/>
        <v>3400</v>
      </c>
      <c r="I19" s="28" t="s">
        <v>370</v>
      </c>
      <c r="J19" s="28" t="s">
        <v>375</v>
      </c>
      <c r="K19" s="30">
        <v>0.65</v>
      </c>
      <c r="L19" s="32">
        <f t="shared" si="1"/>
        <v>4420</v>
      </c>
    </row>
    <row r="20" spans="1:12" ht="43.5" customHeight="1">
      <c r="A20" s="19" t="s">
        <v>376</v>
      </c>
      <c r="B20" s="27" t="s">
        <v>359</v>
      </c>
      <c r="C20" s="21" t="s">
        <v>377</v>
      </c>
      <c r="D20" s="21" t="s">
        <v>365</v>
      </c>
      <c r="E20" s="29">
        <v>1</v>
      </c>
      <c r="F20" s="30">
        <v>0.65</v>
      </c>
      <c r="G20" s="20">
        <v>6000</v>
      </c>
      <c r="H20" s="31">
        <f t="shared" si="0"/>
        <v>3900</v>
      </c>
      <c r="I20" s="21" t="s">
        <v>361</v>
      </c>
      <c r="J20" s="21" t="s">
        <v>378</v>
      </c>
      <c r="K20" s="30">
        <v>0.85</v>
      </c>
      <c r="L20" s="31">
        <f t="shared" si="1"/>
        <v>5100</v>
      </c>
    </row>
  </sheetData>
  <mergeCells count="10">
    <mergeCell ref="A5:C5"/>
    <mergeCell ref="D5:F5"/>
    <mergeCell ref="G5:I5"/>
    <mergeCell ref="J5:L5"/>
    <mergeCell ref="A1:L1"/>
    <mergeCell ref="A2:L2"/>
    <mergeCell ref="A4:C4"/>
    <mergeCell ref="D4:F4"/>
    <mergeCell ref="G4:I4"/>
    <mergeCell ref="J4:L4"/>
  </mergeCells>
  <dataValidations count="3">
    <dataValidation type="list" sqref="B8:B20" xr:uid="{00000000-0002-0000-0400-000000000000}">
      <formula1>"Threat,Opportunity"</formula1>
    </dataValidation>
    <dataValidation type="whole" sqref="E8:E20" xr:uid="{00000000-0002-0000-0400-000001000000}">
      <formula1>1</formula1>
      <formula2>5</formula2>
    </dataValidation>
    <dataValidation type="decimal" sqref="F8:F20 K8:K20" xr:uid="{00000000-0002-0000-0400-000002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 - Updated Product Backlog</vt:lpstr>
      <vt:lpstr>Sprint wise spent</vt:lpstr>
      <vt:lpstr>Pivot</vt:lpstr>
      <vt:lpstr>Config</vt:lpstr>
      <vt:lpstr>Risk &amp; 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 ahmed</cp:lastModifiedBy>
  <dcterms:modified xsi:type="dcterms:W3CDTF">2026-08-08T18:19:37Z</dcterms:modified>
</cp:coreProperties>
</file>